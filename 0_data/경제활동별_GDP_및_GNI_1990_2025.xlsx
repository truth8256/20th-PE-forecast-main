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sti-my.sharepoint.com/personal/truth8256_goodsti_com/Documents/=대학원/=논문연구/20th-PE-forecast-main/0_data/"/>
    </mc:Choice>
  </mc:AlternateContent>
  <xr:revisionPtr revIDLastSave="183" documentId="11_9FD81C4C40ABD87DC3929BEA117250F16F74F21F" xr6:coauthVersionLast="47" xr6:coauthVersionMax="47" xr10:uidLastSave="{24DEFD43-A49E-4185-AEE0-E6E6EA221D5E}"/>
  <bookViews>
    <workbookView xWindow="28680" yWindow="-120" windowWidth="29040" windowHeight="15720" activeTab="3" xr2:uid="{00000000-000D-0000-FFFF-FFFF00000000}"/>
  </bookViews>
  <sheets>
    <sheet name="데이터" sheetId="1" r:id="rId1"/>
    <sheet name="Sheet1" sheetId="3" r:id="rId2"/>
    <sheet name="primary" sheetId="4" r:id="rId3"/>
    <sheet name="home" sheetId="5" r:id="rId4"/>
    <sheet name="메타정보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5" l="1"/>
  <c r="B21" i="5"/>
  <c r="C20" i="5"/>
  <c r="C22" i="5" s="1"/>
  <c r="K9" i="3"/>
  <c r="O20" i="3"/>
  <c r="O18" i="3"/>
  <c r="O23" i="3" s="1"/>
  <c r="O17" i="3"/>
  <c r="O22" i="3" s="1"/>
  <c r="P16" i="3"/>
  <c r="P18" i="3" s="1"/>
  <c r="V11" i="3"/>
  <c r="U11" i="3"/>
  <c r="T11" i="3"/>
  <c r="S11" i="3"/>
  <c r="R11" i="3"/>
  <c r="Q11" i="3"/>
  <c r="P11" i="3"/>
  <c r="O11" i="3"/>
  <c r="V10" i="3"/>
  <c r="U10" i="3"/>
  <c r="T10" i="3"/>
  <c r="S10" i="3"/>
  <c r="R10" i="3"/>
  <c r="Q10" i="3"/>
  <c r="P10" i="3"/>
  <c r="O10" i="3"/>
  <c r="V9" i="3"/>
  <c r="U9" i="3"/>
  <c r="T9" i="3"/>
  <c r="S9" i="3"/>
  <c r="R9" i="3"/>
  <c r="Q9" i="3"/>
  <c r="P9" i="3"/>
  <c r="V8" i="3"/>
  <c r="U8" i="3"/>
  <c r="T8" i="3"/>
  <c r="S8" i="3"/>
  <c r="R8" i="3"/>
  <c r="Q8" i="3"/>
  <c r="P8" i="3"/>
  <c r="O9" i="3"/>
  <c r="O8" i="3"/>
  <c r="V5" i="3"/>
  <c r="U5" i="3"/>
  <c r="T5" i="3"/>
  <c r="S5" i="3"/>
  <c r="R5" i="3"/>
  <c r="Q5" i="3"/>
  <c r="P5" i="3"/>
  <c r="O5" i="3"/>
  <c r="V6" i="3"/>
  <c r="U6" i="3"/>
  <c r="T6" i="3"/>
  <c r="S6" i="3"/>
  <c r="R6" i="3"/>
  <c r="Q6" i="3"/>
  <c r="P6" i="3"/>
  <c r="O6" i="3"/>
  <c r="P4" i="3"/>
  <c r="K125" i="3"/>
  <c r="L143" i="3"/>
  <c r="K143" i="3"/>
  <c r="L142" i="3"/>
  <c r="K142" i="3"/>
  <c r="L141" i="3"/>
  <c r="K141" i="3"/>
  <c r="L140" i="3"/>
  <c r="K140" i="3"/>
  <c r="L139" i="3"/>
  <c r="K139" i="3"/>
  <c r="L138" i="3"/>
  <c r="K138" i="3"/>
  <c r="L137" i="3"/>
  <c r="K137" i="3"/>
  <c r="L136" i="3"/>
  <c r="K136" i="3"/>
  <c r="L135" i="3"/>
  <c r="K135" i="3"/>
  <c r="L134" i="3"/>
  <c r="K134" i="3"/>
  <c r="L133" i="3"/>
  <c r="K133" i="3"/>
  <c r="L132" i="3"/>
  <c r="K132" i="3"/>
  <c r="L131" i="3"/>
  <c r="K131" i="3"/>
  <c r="L130" i="3"/>
  <c r="K130" i="3"/>
  <c r="L129" i="3"/>
  <c r="K129" i="3"/>
  <c r="L128" i="3"/>
  <c r="K128" i="3"/>
  <c r="L127" i="3"/>
  <c r="K127" i="3"/>
  <c r="L126" i="3"/>
  <c r="K126" i="3"/>
  <c r="L125" i="3"/>
  <c r="L124" i="3"/>
  <c r="K124" i="3"/>
  <c r="L123" i="3"/>
  <c r="K123" i="3"/>
  <c r="L122" i="3"/>
  <c r="K122" i="3"/>
  <c r="L121" i="3"/>
  <c r="K121" i="3"/>
  <c r="L120" i="3"/>
  <c r="K120" i="3"/>
  <c r="L119" i="3"/>
  <c r="K119" i="3"/>
  <c r="L118" i="3"/>
  <c r="K118" i="3"/>
  <c r="L117" i="3"/>
  <c r="K117" i="3"/>
  <c r="L116" i="3"/>
  <c r="K116" i="3"/>
  <c r="L115" i="3"/>
  <c r="K115" i="3"/>
  <c r="L114" i="3"/>
  <c r="K114" i="3"/>
  <c r="L113" i="3"/>
  <c r="K113" i="3"/>
  <c r="L112" i="3"/>
  <c r="K112" i="3"/>
  <c r="L111" i="3"/>
  <c r="K111" i="3"/>
  <c r="L110" i="3"/>
  <c r="K110" i="3"/>
  <c r="L109" i="3"/>
  <c r="K109" i="3"/>
  <c r="L108" i="3"/>
  <c r="K108" i="3"/>
  <c r="L107" i="3"/>
  <c r="K107" i="3"/>
  <c r="L106" i="3"/>
  <c r="K106" i="3"/>
  <c r="L105" i="3"/>
  <c r="K105" i="3"/>
  <c r="L104" i="3"/>
  <c r="K104" i="3"/>
  <c r="L103" i="3"/>
  <c r="K103" i="3"/>
  <c r="L102" i="3"/>
  <c r="K102" i="3"/>
  <c r="L101" i="3"/>
  <c r="K101" i="3"/>
  <c r="L100" i="3"/>
  <c r="K100" i="3"/>
  <c r="L99" i="3"/>
  <c r="K99" i="3"/>
  <c r="L98" i="3"/>
  <c r="K98" i="3"/>
  <c r="L97" i="3"/>
  <c r="K97" i="3"/>
  <c r="L96" i="3"/>
  <c r="K96" i="3"/>
  <c r="L95" i="3"/>
  <c r="K95" i="3"/>
  <c r="L94" i="3"/>
  <c r="K94" i="3"/>
  <c r="L93" i="3"/>
  <c r="K93" i="3"/>
  <c r="L92" i="3"/>
  <c r="K92" i="3"/>
  <c r="L91" i="3"/>
  <c r="K91" i="3"/>
  <c r="L90" i="3"/>
  <c r="K90" i="3"/>
  <c r="L89" i="3"/>
  <c r="K89" i="3"/>
  <c r="L88" i="3"/>
  <c r="K88" i="3"/>
  <c r="L87" i="3"/>
  <c r="K87" i="3"/>
  <c r="L86" i="3"/>
  <c r="K86" i="3"/>
  <c r="L85" i="3"/>
  <c r="K85" i="3"/>
  <c r="L84" i="3"/>
  <c r="K84" i="3"/>
  <c r="L83" i="3"/>
  <c r="K83" i="3"/>
  <c r="L82" i="3"/>
  <c r="K82" i="3"/>
  <c r="L81" i="3"/>
  <c r="K81" i="3"/>
  <c r="L80" i="3"/>
  <c r="K80" i="3"/>
  <c r="L79" i="3"/>
  <c r="K79" i="3"/>
  <c r="L78" i="3"/>
  <c r="K78" i="3"/>
  <c r="L77" i="3"/>
  <c r="K77" i="3"/>
  <c r="L76" i="3"/>
  <c r="K76" i="3"/>
  <c r="L75" i="3"/>
  <c r="K75" i="3"/>
  <c r="L74" i="3"/>
  <c r="K74" i="3"/>
  <c r="L73" i="3"/>
  <c r="K73" i="3"/>
  <c r="L72" i="3"/>
  <c r="K72" i="3"/>
  <c r="L71" i="3"/>
  <c r="K71" i="3"/>
  <c r="L70" i="3"/>
  <c r="K70" i="3"/>
  <c r="L69" i="3"/>
  <c r="K69" i="3"/>
  <c r="L68" i="3"/>
  <c r="K68" i="3"/>
  <c r="L67" i="3"/>
  <c r="K67" i="3"/>
  <c r="L66" i="3"/>
  <c r="K66" i="3"/>
  <c r="L65" i="3"/>
  <c r="K65" i="3"/>
  <c r="L64" i="3"/>
  <c r="K64" i="3"/>
  <c r="L63" i="3"/>
  <c r="K63" i="3"/>
  <c r="L62" i="3"/>
  <c r="K62" i="3"/>
  <c r="L61" i="3"/>
  <c r="K61" i="3"/>
  <c r="L60" i="3"/>
  <c r="K60" i="3"/>
  <c r="L59" i="3"/>
  <c r="K59" i="3"/>
  <c r="L58" i="3"/>
  <c r="K58" i="3"/>
  <c r="L57" i="3"/>
  <c r="K57" i="3"/>
  <c r="L56" i="3"/>
  <c r="K56" i="3"/>
  <c r="L55" i="3"/>
  <c r="K55" i="3"/>
  <c r="L54" i="3"/>
  <c r="K54" i="3"/>
  <c r="L53" i="3"/>
  <c r="K53" i="3"/>
  <c r="L52" i="3"/>
  <c r="K52" i="3"/>
  <c r="L51" i="3"/>
  <c r="K51" i="3"/>
  <c r="L50" i="3"/>
  <c r="K50" i="3"/>
  <c r="L49" i="3"/>
  <c r="K49" i="3"/>
  <c r="L48" i="3"/>
  <c r="K48" i="3"/>
  <c r="L47" i="3"/>
  <c r="K47" i="3"/>
  <c r="L46" i="3"/>
  <c r="K46" i="3"/>
  <c r="L45" i="3"/>
  <c r="K45" i="3"/>
  <c r="L44" i="3"/>
  <c r="K44" i="3"/>
  <c r="L43" i="3"/>
  <c r="K43" i="3"/>
  <c r="L42" i="3"/>
  <c r="K42" i="3"/>
  <c r="L41" i="3"/>
  <c r="K41" i="3"/>
  <c r="L40" i="3"/>
  <c r="K40" i="3"/>
  <c r="L39" i="3"/>
  <c r="K39" i="3"/>
  <c r="L38" i="3"/>
  <c r="K38" i="3"/>
  <c r="L37" i="3"/>
  <c r="K37" i="3"/>
  <c r="L36" i="3"/>
  <c r="K36" i="3"/>
  <c r="L35" i="3"/>
  <c r="K35" i="3"/>
  <c r="L34" i="3"/>
  <c r="K34" i="3"/>
  <c r="L33" i="3"/>
  <c r="K33" i="3"/>
  <c r="L32" i="3"/>
  <c r="K32" i="3"/>
  <c r="L31" i="3"/>
  <c r="K31" i="3"/>
  <c r="L30" i="3"/>
  <c r="K30" i="3"/>
  <c r="L29" i="3"/>
  <c r="K29" i="3"/>
  <c r="L28" i="3"/>
  <c r="K28" i="3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C21" i="5" l="1"/>
  <c r="D20" i="5"/>
  <c r="P23" i="3"/>
  <c r="P21" i="3"/>
  <c r="O21" i="3"/>
  <c r="P17" i="3"/>
  <c r="Q16" i="3"/>
  <c r="Q4" i="3"/>
  <c r="D22" i="5" l="1"/>
  <c r="E20" i="5"/>
  <c r="D21" i="5"/>
  <c r="P22" i="3"/>
  <c r="P20" i="3"/>
  <c r="Q18" i="3"/>
  <c r="R16" i="3"/>
  <c r="Q17" i="3"/>
  <c r="R4" i="3"/>
  <c r="E22" i="5" l="1"/>
  <c r="E21" i="5"/>
  <c r="F20" i="5"/>
  <c r="R18" i="3"/>
  <c r="S16" i="3"/>
  <c r="R17" i="3"/>
  <c r="Q23" i="3"/>
  <c r="Q21" i="3"/>
  <c r="Q22" i="3"/>
  <c r="Q20" i="3"/>
  <c r="S4" i="3"/>
  <c r="F22" i="5" l="1"/>
  <c r="F21" i="5"/>
  <c r="G20" i="5"/>
  <c r="H20" i="5" s="1"/>
  <c r="I20" i="5" s="1"/>
  <c r="R23" i="3"/>
  <c r="R21" i="3"/>
  <c r="R22" i="3"/>
  <c r="R20" i="3"/>
  <c r="S17" i="3"/>
  <c r="T16" i="3"/>
  <c r="S18" i="3"/>
  <c r="T4" i="3"/>
  <c r="S23" i="3" l="1"/>
  <c r="S21" i="3"/>
  <c r="U16" i="3"/>
  <c r="S20" i="3"/>
  <c r="S22" i="3"/>
  <c r="U4" i="3"/>
  <c r="T23" i="3" l="1"/>
  <c r="T21" i="3"/>
  <c r="T20" i="3"/>
  <c r="T22" i="3"/>
  <c r="V16" i="3"/>
  <c r="V4" i="3"/>
  <c r="U23" i="3" l="1"/>
  <c r="U21" i="3"/>
  <c r="U20" i="3"/>
  <c r="U22" i="3"/>
  <c r="V23" i="3" l="1"/>
  <c r="V21" i="3"/>
  <c r="V20" i="3"/>
  <c r="V22" i="3"/>
</calcChain>
</file>

<file path=xl/sharedStrings.xml><?xml version="1.0" encoding="utf-8"?>
<sst xmlns="http://schemas.openxmlformats.org/spreadsheetml/2006/main" count="475" uniqueCount="270">
  <si>
    <t>계정항목별</t>
  </si>
  <si>
    <t>1990.1/4</t>
  </si>
  <si>
    <t>1990.2/4</t>
  </si>
  <si>
    <t>1990.3/4</t>
  </si>
  <si>
    <t>1990.4/4</t>
  </si>
  <si>
    <t>1991.1/4</t>
  </si>
  <si>
    <t>1991.2/4</t>
  </si>
  <si>
    <t>1991.3/4</t>
  </si>
  <si>
    <t>1991.4/4</t>
  </si>
  <si>
    <t>1992.1/4</t>
  </si>
  <si>
    <t>1992.2/4</t>
  </si>
  <si>
    <t>1992.3/4</t>
  </si>
  <si>
    <t>1992.4/4</t>
  </si>
  <si>
    <t>1993.1/4</t>
  </si>
  <si>
    <t>1993.2/4</t>
  </si>
  <si>
    <t>1993.3/4</t>
  </si>
  <si>
    <t>1993.4/4</t>
  </si>
  <si>
    <t>1994.1/4</t>
  </si>
  <si>
    <t>1994.2/4</t>
  </si>
  <si>
    <t>1994.3/4</t>
  </si>
  <si>
    <t>1994.4/4</t>
  </si>
  <si>
    <t>1995.1/4</t>
  </si>
  <si>
    <t>1995.2/4</t>
  </si>
  <si>
    <t>1995.3/4</t>
  </si>
  <si>
    <t>1995.4/4</t>
  </si>
  <si>
    <t>1996.1/4</t>
  </si>
  <si>
    <t>1996.2/4</t>
  </si>
  <si>
    <t>1996.3/4</t>
  </si>
  <si>
    <t>1996.4/4</t>
  </si>
  <si>
    <t>1997.1/4</t>
  </si>
  <si>
    <t>1997.2/4</t>
  </si>
  <si>
    <t>1997.3/4</t>
  </si>
  <si>
    <t>1997.4/4</t>
  </si>
  <si>
    <t>1998.1/4</t>
  </si>
  <si>
    <t>1998.2/4</t>
  </si>
  <si>
    <t>1998.3/4</t>
  </si>
  <si>
    <t>1998.4/4</t>
  </si>
  <si>
    <t>1999.1/4</t>
  </si>
  <si>
    <t>1999.2/4</t>
  </si>
  <si>
    <t>1999.3/4</t>
  </si>
  <si>
    <t>1999.4/4</t>
  </si>
  <si>
    <t>2000.1/4</t>
  </si>
  <si>
    <t>2000.2/4</t>
  </si>
  <si>
    <t>2000.3/4</t>
  </si>
  <si>
    <t>2000.4/4</t>
  </si>
  <si>
    <t>2001.1/4</t>
  </si>
  <si>
    <t>2001.2/4</t>
  </si>
  <si>
    <t>2001.3/4</t>
  </si>
  <si>
    <t>2001.4/4</t>
  </si>
  <si>
    <t>2002.1/4</t>
  </si>
  <si>
    <t>2002.2/4</t>
  </si>
  <si>
    <t>2002.3/4</t>
  </si>
  <si>
    <t>2002.4/4</t>
  </si>
  <si>
    <t>2003.1/4</t>
  </si>
  <si>
    <t>2003.2/4</t>
  </si>
  <si>
    <t>2003.3/4</t>
  </si>
  <si>
    <t>2003.4/4</t>
  </si>
  <si>
    <t>2004.1/4</t>
  </si>
  <si>
    <t>2004.2/4</t>
  </si>
  <si>
    <t>2004.3/4</t>
  </si>
  <si>
    <t>2004.4/4</t>
  </si>
  <si>
    <t>2005.1/4</t>
  </si>
  <si>
    <t>2005.2/4</t>
  </si>
  <si>
    <t>2005.3/4</t>
  </si>
  <si>
    <t>2005.4/4</t>
  </si>
  <si>
    <t>2006.1/4</t>
  </si>
  <si>
    <t>2006.2/4</t>
  </si>
  <si>
    <t>2006.3/4</t>
  </si>
  <si>
    <t>2006.4/4</t>
  </si>
  <si>
    <t>2007.1/4</t>
  </si>
  <si>
    <t>2007.2/4</t>
  </si>
  <si>
    <t>2007.3/4</t>
  </si>
  <si>
    <t>2007.4/4</t>
  </si>
  <si>
    <t>2008.1/4</t>
  </si>
  <si>
    <t>2008.2/4</t>
  </si>
  <si>
    <t>2008.3/4</t>
  </si>
  <si>
    <t>2008.4/4</t>
  </si>
  <si>
    <t>2009.1/4</t>
  </si>
  <si>
    <t>2009.2/4</t>
  </si>
  <si>
    <t>2009.3/4</t>
  </si>
  <si>
    <t>2009.4/4</t>
  </si>
  <si>
    <t>2010.1/4</t>
  </si>
  <si>
    <t>2010.2/4</t>
  </si>
  <si>
    <t>2010.3/4</t>
  </si>
  <si>
    <t>2010.4/4</t>
  </si>
  <si>
    <t>2011.1/4</t>
  </si>
  <si>
    <t>2011.2/4</t>
  </si>
  <si>
    <t>2011.3/4</t>
  </si>
  <si>
    <t>2011.4/4</t>
  </si>
  <si>
    <t>2012.1/4</t>
  </si>
  <si>
    <t>2012.2/4</t>
  </si>
  <si>
    <t>2012.3/4</t>
  </si>
  <si>
    <t>2012.4/4</t>
  </si>
  <si>
    <t>2013.1/4</t>
  </si>
  <si>
    <t>2013.2/4</t>
  </si>
  <si>
    <t>2013.3/4</t>
  </si>
  <si>
    <t>2013.4/4</t>
  </si>
  <si>
    <t>2014.1/4</t>
  </si>
  <si>
    <t>2014.2/4</t>
  </si>
  <si>
    <t>2014.3/4</t>
  </si>
  <si>
    <t>2014.4/4</t>
  </si>
  <si>
    <t>2015.1/4</t>
  </si>
  <si>
    <t>2015.2/4</t>
  </si>
  <si>
    <t>2015.3/4</t>
  </si>
  <si>
    <t>2015.4/4</t>
  </si>
  <si>
    <t>2016.1/4</t>
  </si>
  <si>
    <t>2016.2/4</t>
  </si>
  <si>
    <t>2016.3/4</t>
  </si>
  <si>
    <t>2016.4/4</t>
  </si>
  <si>
    <t>2017.1/4</t>
  </si>
  <si>
    <t>2017.2/4</t>
  </si>
  <si>
    <t>2017.3/4</t>
  </si>
  <si>
    <t>2017.4/4</t>
  </si>
  <si>
    <t>2018.1/4</t>
  </si>
  <si>
    <t>2018.2/4</t>
  </si>
  <si>
    <t>2018.3/4</t>
  </si>
  <si>
    <t>2018.4/4</t>
  </si>
  <si>
    <t>2019.1/4</t>
  </si>
  <si>
    <t>2019.2/4</t>
  </si>
  <si>
    <t>2019.3/4</t>
  </si>
  <si>
    <t>2019.4/4</t>
  </si>
  <si>
    <t>2020.1/4</t>
  </si>
  <si>
    <t>2020.2/4</t>
  </si>
  <si>
    <t>2020.3/4</t>
  </si>
  <si>
    <t>2020.4/4</t>
  </si>
  <si>
    <t>2021.1/4</t>
  </si>
  <si>
    <t>2021.2/4</t>
  </si>
  <si>
    <t>2021.3/4</t>
  </si>
  <si>
    <t>2021.4/4</t>
  </si>
  <si>
    <t>2022.1/4</t>
  </si>
  <si>
    <t>2022.2/4</t>
  </si>
  <si>
    <t>2022.3/4</t>
  </si>
  <si>
    <t>2022.4/4</t>
  </si>
  <si>
    <t>2023.1/4</t>
  </si>
  <si>
    <t>2023.2/4</t>
  </si>
  <si>
    <t>2023.3/4</t>
  </si>
  <si>
    <t>2023.4/4</t>
  </si>
  <si>
    <t>2024.1/4</t>
  </si>
  <si>
    <t>2024.2/4</t>
  </si>
  <si>
    <t>2024.3/4</t>
  </si>
  <si>
    <t>2024.4/4</t>
  </si>
  <si>
    <t>2025.1/4</t>
  </si>
  <si>
    <t>2025.2/4</t>
  </si>
  <si>
    <t>농림어업</t>
  </si>
  <si>
    <t>광공업</t>
  </si>
  <si>
    <t>　　　광업</t>
  </si>
  <si>
    <t>　　　제조업</t>
  </si>
  <si>
    <t>　　　　　　음식료품 제조업</t>
  </si>
  <si>
    <t>　　　　　　섬유 및 가죽제품 제조업</t>
  </si>
  <si>
    <t>　　　　　　목재, 종이, 인쇄 및 복제업</t>
  </si>
  <si>
    <t>　　　　　　코크스 및 석유정제품 제조업</t>
  </si>
  <si>
    <t>　　　　　　화학물질 및 화학제품 제조업</t>
  </si>
  <si>
    <t>　　　　　　비금속광물제품 제조업</t>
  </si>
  <si>
    <t>　　　　　　1차금속 제조업</t>
  </si>
  <si>
    <t>　　　　　　금속가공제품 제조업</t>
  </si>
  <si>
    <t>　　　　　　컴퓨터, 전자 및 광학기기 제조업</t>
  </si>
  <si>
    <t>　　　　　　전기장비 제조업</t>
  </si>
  <si>
    <t>　　　　　　기계 및 장비 제조업</t>
  </si>
  <si>
    <t>　　　　　　운송장비 제조업</t>
  </si>
  <si>
    <t>　　　　　　기타 제조업 및 산업용 장비 수리업</t>
  </si>
  <si>
    <t>전기, 가스 및 수도사업</t>
  </si>
  <si>
    <t>　　　전기업</t>
  </si>
  <si>
    <t>　　　가스, 증기 및 공기조절 공급업</t>
  </si>
  <si>
    <t>　　　수도, 하수 및 폐기물 처리, 원료 재생업</t>
  </si>
  <si>
    <t>건설업</t>
  </si>
  <si>
    <t>　　　건물건설 및 건축보수업</t>
  </si>
  <si>
    <t>　　　　　　주거용 건물 건설업</t>
  </si>
  <si>
    <t>　　　　　　비주거용 건물 건설업</t>
  </si>
  <si>
    <t>　　　　　　건축보수업</t>
  </si>
  <si>
    <t>　　　토목건설업</t>
  </si>
  <si>
    <t>서비스업</t>
  </si>
  <si>
    <t>　　　도소매 및 숙박음식업</t>
  </si>
  <si>
    <t>　　　　　　도소매업</t>
  </si>
  <si>
    <t>　　　　　　숙박 및 음식점업</t>
  </si>
  <si>
    <t>　　　운수업</t>
  </si>
  <si>
    <t>　　　금융 및 보험업</t>
  </si>
  <si>
    <t>　　　부동산업</t>
  </si>
  <si>
    <t>　　　정보통신업</t>
  </si>
  <si>
    <t>　　　　　　통신업</t>
  </si>
  <si>
    <t>　　　　　　출판, 방송, 영상, 정보서비스</t>
  </si>
  <si>
    <t>　　　사업서비스업</t>
  </si>
  <si>
    <t>　　　　　　전문, 과학 및 기술관련 서비스업</t>
  </si>
  <si>
    <t>　　　　　　사업지원 서비스업</t>
  </si>
  <si>
    <t>　　　공공행정, 국방 및 사회보장</t>
  </si>
  <si>
    <t>　　　교육서비스업</t>
  </si>
  <si>
    <t>　　　의료, 보건업 및 사회복지서비스업</t>
  </si>
  <si>
    <t>　　　문화 및 기타 서비스업</t>
  </si>
  <si>
    <t>　　　　　　예술, 스포츠 및 여가관련 서비스업</t>
  </si>
  <si>
    <t>　　　　　　기타 서비스업</t>
  </si>
  <si>
    <t>총부가가치(기초가격)</t>
  </si>
  <si>
    <t>순생산물세</t>
  </si>
  <si>
    <t>국내총생산(시장가격, GDP)</t>
  </si>
  <si>
    <t>교역조건 변화를 반영한 실질무역손익</t>
  </si>
  <si>
    <t>국내총소득(GDI)</t>
  </si>
  <si>
    <t>국외순수취요소소득</t>
  </si>
  <si>
    <t>국민총소득(GNI)</t>
  </si>
  <si>
    <t>○ 통계표ID</t>
  </si>
  <si>
    <t>DT_200Y104</t>
  </si>
  <si>
    <t>○ 통계표명</t>
  </si>
  <si>
    <t>경제활동별 GDP 및 GNI(계절조정, 실질, 분기)</t>
  </si>
  <si>
    <t>○ 조회기간</t>
  </si>
  <si>
    <t xml:space="preserve">[분기] 199001~202502  </t>
  </si>
  <si>
    <t>○ 출처</t>
  </si>
  <si>
    <t>「국민계정」, 한국은행</t>
  </si>
  <si>
    <t>○ 자료다운일자</t>
  </si>
  <si>
    <t>2025.10.28 21:03</t>
  </si>
  <si>
    <t>○ 통계표URL</t>
  </si>
  <si>
    <t>https://kosis.kr/statHtml/statHtml.do?orgId=301&amp;tblId=DT_200Y104&amp;conn_path=I3</t>
  </si>
  <si>
    <t/>
  </si>
  <si>
    <t>* KOSIS 개편 시 통계표 URL은 달라질 수 있음</t>
  </si>
  <si>
    <t>○ 단위</t>
  </si>
  <si>
    <t>십억원</t>
  </si>
  <si>
    <t>○ 주석</t>
  </si>
  <si>
    <t>통계표</t>
  </si>
  <si>
    <t>(1) 분기속보 : 해당 분기 종료 후 28일 이내, 분기잠정 : 해당 분기 종료 후 70일 이내</t>
  </si>
  <si>
    <t xml:space="preserve">
(2) 연간 잠정치 : 해당 연도 종료 후 3개월 내에 국민소득(잠정), 6개월 내에 국민계정(잠정)이 공표, 연간확정 : 해당 연도 종료 후 18개월 이내. 연간잠정 시에는 일부 기초자료를 이용하지 못함에 따라 추후 공표될 연간확정과 차이가 있을 수 있으며 시계열 분석 시 유의바람</t>
  </si>
  <si>
    <t xml:space="preserve">
(3) 연쇄가중법에 의해 추계된 실질 GDP통계는 비가법적 특성에 의해 총량(또는 상위부문) 금액과 그 구성항목 금액의 합이 일치하지 않음</t>
  </si>
  <si>
    <t xml:space="preserve">
(4) 개별 구성항목의 연쇄금액은 구성항목 내에서의 상대적 중요도를 정확하게 반영하지 못할 수 있으므로 상대비교 시에는 주의를 요함. 각 구성항목의 기여도는 2.1.5. GDP에 대한 성장기여도를 참조</t>
  </si>
  <si>
    <t xml:space="preserve">
(5) 순생산물세 : 생산물세에서 생산물보조금을 차감하여 계산</t>
  </si>
  <si>
    <t xml:space="preserve">
(6) 산업별 금액은 총부가가치(기초가격) 기준</t>
  </si>
  <si>
    <t>GDP</t>
    <phoneticPr fontId="1" type="noConversion"/>
  </si>
  <si>
    <t>GNI</t>
    <phoneticPr fontId="1" type="noConversion"/>
  </si>
  <si>
    <t>GDP성장률</t>
    <phoneticPr fontId="1" type="noConversion"/>
  </si>
  <si>
    <t>GNI성장률</t>
    <phoneticPr fontId="1" type="noConversion"/>
  </si>
  <si>
    <t>gdp4</t>
  </si>
  <si>
    <t>gdp5</t>
    <phoneticPr fontId="1" type="noConversion"/>
  </si>
  <si>
    <t>gni4</t>
  </si>
  <si>
    <t>gni5</t>
    <phoneticPr fontId="1" type="noConversion"/>
  </si>
  <si>
    <t>2015.4/4</t>
    <phoneticPr fontId="1" type="noConversion"/>
  </si>
  <si>
    <t>2016.4/4</t>
    <phoneticPr fontId="1" type="noConversion"/>
  </si>
  <si>
    <t>2020.4/4</t>
    <phoneticPr fontId="1" type="noConversion"/>
  </si>
  <si>
    <t>2021.4/4</t>
    <phoneticPr fontId="1" type="noConversion"/>
  </si>
  <si>
    <t>2023.4/4</t>
    <phoneticPr fontId="1" type="noConversion"/>
  </si>
  <si>
    <t>2024.4/4</t>
    <phoneticPr fontId="1" type="noConversion"/>
  </si>
  <si>
    <t>14대</t>
    <phoneticPr fontId="1" type="noConversion"/>
  </si>
  <si>
    <t>15대</t>
  </si>
  <si>
    <t>16대</t>
  </si>
  <si>
    <t>17대</t>
  </si>
  <si>
    <t>18대</t>
  </si>
  <si>
    <t>19대</t>
  </si>
  <si>
    <t>20대</t>
  </si>
  <si>
    <t>21대</t>
  </si>
  <si>
    <t>민주당</t>
    <phoneticPr fontId="1" type="noConversion"/>
  </si>
  <si>
    <t>보수정당</t>
    <phoneticPr fontId="1" type="noConversion"/>
  </si>
  <si>
    <t>https://namu.wiki/w/%EA%B5%AD%EB%AF%BC%EC%9D%98%ED%9E%98%20%EC%A0%9C21%EB%8C%80%20%EB%8C%80%ED%86%B5%EB%A0%B9%20%ED%9B%84%EB%B3%B4%20%EA%B2%BD%EC%84%A0#s-4.3.3</t>
  </si>
  <si>
    <t>https://namu.wiki/w/%EB%8D%94%EB%B6%88%EC%96%B4%EB%AF%BC%EC%A3%BC%EB%8B%B9%20%EC%A0%9C21%EB%8C%80%20%EB%8C%80%ED%86%B5%EB%A0%B9%20%ED%9B%84%EB%B3%B4%20%EA%B2%BD%EC%84%A0#s-5.1</t>
  </si>
  <si>
    <t>https://namu.wiki/w/%EC%A0%9C14%EB%8C%80%20%EB%8C%80%ED%86%B5%EB%A0%B9%20%EC%84%A0%EA%B1%B0#s-3.1.1</t>
  </si>
  <si>
    <t>home</t>
    <phoneticPr fontId="1" type="noConversion"/>
  </si>
  <si>
    <t>보수</t>
    <phoneticPr fontId="1" type="noConversion"/>
  </si>
  <si>
    <t>김대중</t>
    <phoneticPr fontId="1" type="noConversion"/>
  </si>
  <si>
    <t>노무현</t>
    <phoneticPr fontId="1" type="noConversion"/>
  </si>
  <si>
    <t>문재인</t>
    <phoneticPr fontId="1" type="noConversion"/>
  </si>
  <si>
    <t>정동영</t>
    <phoneticPr fontId="1" type="noConversion"/>
  </si>
  <si>
    <t>이재명</t>
    <phoneticPr fontId="1" type="noConversion"/>
  </si>
  <si>
    <t>이회창</t>
    <phoneticPr fontId="1" type="noConversion"/>
  </si>
  <si>
    <t>윤석열</t>
    <phoneticPr fontId="1" type="noConversion"/>
  </si>
  <si>
    <t>홍준표</t>
    <phoneticPr fontId="1" type="noConversion"/>
  </si>
  <si>
    <t>박근혜</t>
    <phoneticPr fontId="1" type="noConversion"/>
  </si>
  <si>
    <t>이명박</t>
    <phoneticPr fontId="1" type="noConversion"/>
  </si>
  <si>
    <t>김문수</t>
    <phoneticPr fontId="1" type="noConversion"/>
  </si>
  <si>
    <t>충남</t>
    <phoneticPr fontId="1" type="noConversion"/>
  </si>
  <si>
    <t>경남</t>
    <phoneticPr fontId="1" type="noConversion"/>
  </si>
  <si>
    <t>전남</t>
    <phoneticPr fontId="1" type="noConversion"/>
  </si>
  <si>
    <t>전북</t>
    <phoneticPr fontId="1" type="noConversion"/>
  </si>
  <si>
    <t>대구</t>
    <phoneticPr fontId="1" type="noConversion"/>
  </si>
  <si>
    <t>서울</t>
    <phoneticPr fontId="1" type="noConversion"/>
  </si>
  <si>
    <t>경북</t>
    <phoneticPr fontId="1" type="noConversion"/>
  </si>
  <si>
    <t>경기</t>
    <phoneticPr fontId="1" type="noConversion"/>
  </si>
  <si>
    <t>homeground</t>
  </si>
  <si>
    <t>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</si>
</sst>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"/>
    <numFmt numFmtId="177" formatCode="0.0_ ;[Red]\-0.0\ "/>
    <numFmt numFmtId="178" formatCode="0.0"/>
    <numFmt numFmtId="179" formatCode="0.0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/>
    <xf numFmtId="176" fontId="0" fillId="0" borderId="1" xfId="0" applyNumberFormat="1" applyBorder="1" applyAlignment="1">
      <alignment horizontal="right"/>
    </xf>
    <xf numFmtId="0" fontId="0" fillId="4" borderId="2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  <xf numFmtId="177" fontId="0" fillId="0" borderId="0" xfId="0" applyNumberFormat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54"/>
  <sheetViews>
    <sheetView topLeftCell="EC27" workbookViewId="0">
      <selection activeCell="ED47" sqref="ED47"/>
    </sheetView>
  </sheetViews>
  <sheetFormatPr defaultColWidth="21" defaultRowHeight="16.5" x14ac:dyDescent="0.3"/>
  <sheetData>
    <row r="1" spans="1:143" ht="20.100000000000001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</row>
    <row r="2" spans="1:143" ht="20.100000000000001" customHeight="1" x14ac:dyDescent="0.3">
      <c r="A2" s="4" t="s">
        <v>143</v>
      </c>
      <c r="B2" s="3">
        <v>5764.6</v>
      </c>
      <c r="C2" s="3">
        <v>5772</v>
      </c>
      <c r="D2" s="3">
        <v>6143</v>
      </c>
      <c r="E2" s="3">
        <v>6402.9</v>
      </c>
      <c r="F2" s="3">
        <v>6530</v>
      </c>
      <c r="G2" s="3">
        <v>6152.6</v>
      </c>
      <c r="H2" s="3">
        <v>5978.6</v>
      </c>
      <c r="I2" s="3">
        <v>6190.9</v>
      </c>
      <c r="J2" s="3">
        <v>7256.9</v>
      </c>
      <c r="K2" s="3">
        <v>6633.1</v>
      </c>
      <c r="L2" s="3">
        <v>6512.6</v>
      </c>
      <c r="M2" s="3">
        <v>6683.3</v>
      </c>
      <c r="N2" s="3">
        <v>6610.8</v>
      </c>
      <c r="O2" s="3">
        <v>6719.5</v>
      </c>
      <c r="P2" s="3">
        <v>6413.5</v>
      </c>
      <c r="Q2" s="3">
        <v>6196.9</v>
      </c>
      <c r="R2" s="3">
        <v>6503.6</v>
      </c>
      <c r="S2" s="3">
        <v>6342.6</v>
      </c>
      <c r="T2" s="3">
        <v>6452</v>
      </c>
      <c r="U2" s="3">
        <v>6671.1</v>
      </c>
      <c r="V2" s="3">
        <v>6977.8</v>
      </c>
      <c r="W2" s="3">
        <v>7079.3</v>
      </c>
      <c r="X2" s="3">
        <v>6945.6</v>
      </c>
      <c r="Y2" s="3">
        <v>6743.6</v>
      </c>
      <c r="Z2" s="3">
        <v>6947.5</v>
      </c>
      <c r="AA2" s="3">
        <v>7201.9</v>
      </c>
      <c r="AB2" s="3">
        <v>7229.6</v>
      </c>
      <c r="AC2" s="3">
        <v>7444.8</v>
      </c>
      <c r="AD2" s="3">
        <v>7302.5</v>
      </c>
      <c r="AE2" s="3">
        <v>7560.9</v>
      </c>
      <c r="AF2" s="3">
        <v>7634.9</v>
      </c>
      <c r="AG2" s="3">
        <v>7566.5</v>
      </c>
      <c r="AH2" s="3">
        <v>7156.7</v>
      </c>
      <c r="AI2" s="3">
        <v>6805.7</v>
      </c>
      <c r="AJ2" s="3">
        <v>6865.2</v>
      </c>
      <c r="AK2" s="3">
        <v>6959.3</v>
      </c>
      <c r="AL2" s="3">
        <v>7163.2</v>
      </c>
      <c r="AM2" s="3">
        <v>7380.6</v>
      </c>
      <c r="AN2" s="3">
        <v>7387.8</v>
      </c>
      <c r="AO2" s="3">
        <v>7291.1</v>
      </c>
      <c r="AP2" s="3">
        <v>7369.2</v>
      </c>
      <c r="AQ2" s="3">
        <v>7242.6</v>
      </c>
      <c r="AR2" s="3">
        <v>7240.9</v>
      </c>
      <c r="AS2" s="3">
        <v>7413.7</v>
      </c>
      <c r="AT2" s="3">
        <v>7319.8</v>
      </c>
      <c r="AU2" s="3">
        <v>7311.1</v>
      </c>
      <c r="AV2" s="3">
        <v>7282.3</v>
      </c>
      <c r="AW2" s="3">
        <v>7460.8</v>
      </c>
      <c r="AX2" s="3">
        <v>7204.5</v>
      </c>
      <c r="AY2" s="3">
        <v>7016.2</v>
      </c>
      <c r="AZ2" s="3">
        <v>7183.4</v>
      </c>
      <c r="BA2" s="3">
        <v>7053.7</v>
      </c>
      <c r="BB2" s="3">
        <v>6988.5</v>
      </c>
      <c r="BC2" s="3">
        <v>6734.7</v>
      </c>
      <c r="BD2" s="3">
        <v>6479.8</v>
      </c>
      <c r="BE2" s="3">
        <v>6507.1</v>
      </c>
      <c r="BF2" s="3">
        <v>7339.6</v>
      </c>
      <c r="BG2" s="3">
        <v>7112.1</v>
      </c>
      <c r="BH2" s="3">
        <v>7032.5</v>
      </c>
      <c r="BI2" s="3">
        <v>7298.1</v>
      </c>
      <c r="BJ2" s="3">
        <v>7231.7</v>
      </c>
      <c r="BK2" s="3">
        <v>7304.8</v>
      </c>
      <c r="BL2" s="3">
        <v>7284.6</v>
      </c>
      <c r="BM2" s="3">
        <v>7136.7</v>
      </c>
      <c r="BN2" s="3">
        <v>7444.1</v>
      </c>
      <c r="BO2" s="3">
        <v>7330.4</v>
      </c>
      <c r="BP2" s="3">
        <v>7288</v>
      </c>
      <c r="BQ2" s="3">
        <v>7589.6</v>
      </c>
      <c r="BR2" s="3">
        <v>7620.6</v>
      </c>
      <c r="BS2" s="3">
        <v>7906.8</v>
      </c>
      <c r="BT2" s="3">
        <v>7929.4</v>
      </c>
      <c r="BU2" s="3">
        <v>7715</v>
      </c>
      <c r="BV2" s="3">
        <v>8215.4</v>
      </c>
      <c r="BW2" s="3">
        <v>8382.7000000000007</v>
      </c>
      <c r="BX2" s="3">
        <v>8347</v>
      </c>
      <c r="BY2" s="3">
        <v>8281.9</v>
      </c>
      <c r="BZ2" s="3">
        <v>8549</v>
      </c>
      <c r="CA2" s="3">
        <v>8564.7000000000007</v>
      </c>
      <c r="CB2" s="3">
        <v>8927.1</v>
      </c>
      <c r="CC2" s="3">
        <v>8718.2000000000007</v>
      </c>
      <c r="CD2" s="3">
        <v>8634.6</v>
      </c>
      <c r="CE2" s="3">
        <v>8406.9</v>
      </c>
      <c r="CF2" s="3">
        <v>8371.1</v>
      </c>
      <c r="CG2" s="3">
        <v>8083.4</v>
      </c>
      <c r="CH2" s="3">
        <v>8067.7</v>
      </c>
      <c r="CI2" s="3">
        <v>8342.2999999999993</v>
      </c>
      <c r="CJ2" s="3">
        <v>8162.5</v>
      </c>
      <c r="CK2" s="3">
        <v>8576.7999999999993</v>
      </c>
      <c r="CL2" s="3">
        <v>8137.3</v>
      </c>
      <c r="CM2" s="3">
        <v>8257.6</v>
      </c>
      <c r="CN2" s="3">
        <v>8260.9</v>
      </c>
      <c r="CO2" s="3">
        <v>8329.5</v>
      </c>
      <c r="CP2" s="3">
        <v>8165.6</v>
      </c>
      <c r="CQ2" s="3">
        <v>8420.7999999999993</v>
      </c>
      <c r="CR2" s="3">
        <v>8797.2000000000007</v>
      </c>
      <c r="CS2" s="3">
        <v>8990.2000000000007</v>
      </c>
      <c r="CT2" s="3">
        <v>8770.1</v>
      </c>
      <c r="CU2" s="3">
        <v>8952.7000000000007</v>
      </c>
      <c r="CV2" s="3">
        <v>9107.2999999999993</v>
      </c>
      <c r="CW2" s="3">
        <v>9298</v>
      </c>
      <c r="CX2" s="3">
        <v>9388</v>
      </c>
      <c r="CY2" s="3">
        <v>8698</v>
      </c>
      <c r="CZ2" s="3">
        <v>9101.5</v>
      </c>
      <c r="DA2" s="3">
        <v>8848.7999999999993</v>
      </c>
      <c r="DB2" s="3">
        <v>8603.2999999999993</v>
      </c>
      <c r="DC2" s="3">
        <v>8369.5</v>
      </c>
      <c r="DD2" s="3">
        <v>8366.4</v>
      </c>
      <c r="DE2" s="3">
        <v>8326.7999999999993</v>
      </c>
      <c r="DF2" s="3">
        <v>8180.7</v>
      </c>
      <c r="DG2" s="3">
        <v>8622.2999999999993</v>
      </c>
      <c r="DH2" s="3">
        <v>8658</v>
      </c>
      <c r="DI2" s="3">
        <v>8625.7000000000007</v>
      </c>
      <c r="DJ2" s="3">
        <v>8506.6</v>
      </c>
      <c r="DK2" s="3">
        <v>8594.2999999999993</v>
      </c>
      <c r="DL2" s="3">
        <v>8292</v>
      </c>
      <c r="DM2" s="3">
        <v>8429.7999999999993</v>
      </c>
      <c r="DN2" s="3">
        <v>8779.5</v>
      </c>
      <c r="DO2" s="3">
        <v>8814.1</v>
      </c>
      <c r="DP2" s="3">
        <v>8744.6</v>
      </c>
      <c r="DQ2" s="3">
        <v>8470.5</v>
      </c>
      <c r="DR2" s="3">
        <v>8319.5</v>
      </c>
      <c r="DS2" s="3">
        <v>8086.7</v>
      </c>
      <c r="DT2" s="3">
        <v>7940.4</v>
      </c>
      <c r="DU2" s="3">
        <v>8135</v>
      </c>
      <c r="DV2" s="3">
        <v>8509</v>
      </c>
      <c r="DW2" s="3">
        <v>7992.1</v>
      </c>
      <c r="DX2" s="3">
        <v>8477.5</v>
      </c>
      <c r="DY2" s="3">
        <v>8619.9</v>
      </c>
      <c r="DZ2" s="3">
        <v>8557.2999999999993</v>
      </c>
      <c r="EA2" s="3">
        <v>8300</v>
      </c>
      <c r="EB2" s="3">
        <v>8413.5</v>
      </c>
      <c r="EC2" s="3">
        <v>8595.5</v>
      </c>
      <c r="ED2" s="3">
        <v>8396</v>
      </c>
      <c r="EE2" s="3">
        <v>8525.7999999999993</v>
      </c>
      <c r="EF2" s="3">
        <v>8395.5</v>
      </c>
      <c r="EG2" s="3">
        <v>7922.6</v>
      </c>
      <c r="EH2" s="3">
        <v>8250.9</v>
      </c>
      <c r="EI2" s="3">
        <v>8412.4</v>
      </c>
      <c r="EJ2" s="3">
        <v>8470.6</v>
      </c>
      <c r="EK2" s="3">
        <v>8318.7999999999993</v>
      </c>
      <c r="EL2" s="3">
        <v>8680.7999999999993</v>
      </c>
      <c r="EM2" s="3">
        <v>8579.4</v>
      </c>
    </row>
    <row r="3" spans="1:143" ht="20.100000000000001" customHeight="1" x14ac:dyDescent="0.3">
      <c r="A3" s="4" t="s">
        <v>144</v>
      </c>
      <c r="B3" s="3">
        <v>22734.3</v>
      </c>
      <c r="C3" s="3">
        <v>23434.400000000001</v>
      </c>
      <c r="D3" s="3">
        <v>24526.5</v>
      </c>
      <c r="E3" s="3">
        <v>24807.3</v>
      </c>
      <c r="F3" s="3">
        <v>25988.799999999999</v>
      </c>
      <c r="G3" s="3">
        <v>26669.200000000001</v>
      </c>
      <c r="H3" s="3">
        <v>27515.9</v>
      </c>
      <c r="I3" s="3">
        <v>28839.9</v>
      </c>
      <c r="J3" s="3">
        <v>28612.3</v>
      </c>
      <c r="K3" s="3">
        <v>28948.3</v>
      </c>
      <c r="L3" s="3">
        <v>28786</v>
      </c>
      <c r="M3" s="3">
        <v>29131.7</v>
      </c>
      <c r="N3" s="3">
        <v>29791.4</v>
      </c>
      <c r="O3" s="3">
        <v>30514.6</v>
      </c>
      <c r="P3" s="3">
        <v>31263.5</v>
      </c>
      <c r="Q3" s="3">
        <v>32121.9</v>
      </c>
      <c r="R3" s="3">
        <v>33158.1</v>
      </c>
      <c r="S3" s="3">
        <v>34209.9</v>
      </c>
      <c r="T3" s="3">
        <v>34338.6</v>
      </c>
      <c r="U3" s="3">
        <v>36676.300000000003</v>
      </c>
      <c r="V3" s="3">
        <v>37767.300000000003</v>
      </c>
      <c r="W3" s="3">
        <v>38828.5</v>
      </c>
      <c r="X3" s="3">
        <v>39485</v>
      </c>
      <c r="Y3" s="3">
        <v>40511.5</v>
      </c>
      <c r="Z3" s="3">
        <v>41656.5</v>
      </c>
      <c r="AA3" s="3">
        <v>42073.5</v>
      </c>
      <c r="AB3" s="3">
        <v>42897.1</v>
      </c>
      <c r="AC3" s="3">
        <v>43605.1</v>
      </c>
      <c r="AD3" s="3">
        <v>44011.199999999997</v>
      </c>
      <c r="AE3" s="3">
        <v>46095.5</v>
      </c>
      <c r="AF3" s="3">
        <v>45763.4</v>
      </c>
      <c r="AG3" s="3">
        <v>44702.1</v>
      </c>
      <c r="AH3" s="3">
        <v>41358.5</v>
      </c>
      <c r="AI3" s="3">
        <v>40326</v>
      </c>
      <c r="AJ3" s="3">
        <v>41474</v>
      </c>
      <c r="AK3" s="3">
        <v>43946.6</v>
      </c>
      <c r="AL3" s="3">
        <v>44730.9</v>
      </c>
      <c r="AM3" s="3">
        <v>49234.2</v>
      </c>
      <c r="AN3" s="3">
        <v>51657.1</v>
      </c>
      <c r="AO3" s="3">
        <v>53938.400000000001</v>
      </c>
      <c r="AP3" s="3">
        <v>55804.6</v>
      </c>
      <c r="AQ3" s="3">
        <v>56940.800000000003</v>
      </c>
      <c r="AR3" s="3">
        <v>60034.6</v>
      </c>
      <c r="AS3" s="3">
        <v>58239.5</v>
      </c>
      <c r="AT3" s="3">
        <v>58754.400000000001</v>
      </c>
      <c r="AU3" s="3">
        <v>59317.2</v>
      </c>
      <c r="AV3" s="3">
        <v>59568.6</v>
      </c>
      <c r="AW3" s="3">
        <v>60087.5</v>
      </c>
      <c r="AX3" s="3">
        <v>62218.7</v>
      </c>
      <c r="AY3" s="3">
        <v>64554.7</v>
      </c>
      <c r="AZ3" s="3">
        <v>66080.399999999994</v>
      </c>
      <c r="BA3" s="3">
        <v>66660.600000000006</v>
      </c>
      <c r="BB3" s="3">
        <v>66125.899999999994</v>
      </c>
      <c r="BC3" s="3">
        <v>66165.600000000006</v>
      </c>
      <c r="BD3" s="3">
        <v>68182.600000000006</v>
      </c>
      <c r="BE3" s="3">
        <v>71404.2</v>
      </c>
      <c r="BF3" s="3">
        <v>73507.399999999994</v>
      </c>
      <c r="BG3" s="3">
        <v>75035.899999999994</v>
      </c>
      <c r="BH3" s="3">
        <v>75023.5</v>
      </c>
      <c r="BI3" s="3">
        <v>75623.7</v>
      </c>
      <c r="BJ3" s="3">
        <v>76009.100000000006</v>
      </c>
      <c r="BK3" s="3">
        <v>77599.199999999997</v>
      </c>
      <c r="BL3" s="3">
        <v>79482.3</v>
      </c>
      <c r="BM3" s="3">
        <v>80950.8</v>
      </c>
      <c r="BN3" s="3">
        <v>82940.800000000003</v>
      </c>
      <c r="BO3" s="3">
        <v>83512</v>
      </c>
      <c r="BP3" s="3">
        <v>85925.7</v>
      </c>
      <c r="BQ3" s="3">
        <v>85707.199999999997</v>
      </c>
      <c r="BR3" s="3">
        <v>88400.7</v>
      </c>
      <c r="BS3" s="3">
        <v>90304.5</v>
      </c>
      <c r="BT3" s="3">
        <v>91646.8</v>
      </c>
      <c r="BU3" s="3">
        <v>94124.2</v>
      </c>
      <c r="BV3" s="3">
        <v>95609.8</v>
      </c>
      <c r="BW3" s="3">
        <v>96334.5</v>
      </c>
      <c r="BX3" s="3">
        <v>96598.3</v>
      </c>
      <c r="BY3" s="3">
        <v>87948.4</v>
      </c>
      <c r="BZ3" s="3">
        <v>86662.7</v>
      </c>
      <c r="CA3" s="3">
        <v>89403.1</v>
      </c>
      <c r="CB3" s="3">
        <v>96998</v>
      </c>
      <c r="CC3" s="3">
        <v>97142.9</v>
      </c>
      <c r="CD3" s="3">
        <v>100676.1</v>
      </c>
      <c r="CE3" s="3">
        <v>104708.1</v>
      </c>
      <c r="CF3" s="3">
        <v>106856.6</v>
      </c>
      <c r="CG3" s="3">
        <v>109392.4</v>
      </c>
      <c r="CH3" s="3">
        <v>110903</v>
      </c>
      <c r="CI3" s="3">
        <v>110165.6</v>
      </c>
      <c r="CJ3" s="3">
        <v>110741.8</v>
      </c>
      <c r="CK3" s="3">
        <v>111188.3</v>
      </c>
      <c r="CL3" s="3">
        <v>112122.6</v>
      </c>
      <c r="CM3" s="3">
        <v>112323</v>
      </c>
      <c r="CN3" s="3">
        <v>112678.7</v>
      </c>
      <c r="CO3" s="3">
        <v>113520.8</v>
      </c>
      <c r="CP3" s="3">
        <v>114742.39999999999</v>
      </c>
      <c r="CQ3" s="3">
        <v>116148.1</v>
      </c>
      <c r="CR3" s="3">
        <v>117177.7</v>
      </c>
      <c r="CS3" s="3">
        <v>118375.1</v>
      </c>
      <c r="CT3" s="3">
        <v>119675.3</v>
      </c>
      <c r="CU3" s="3">
        <v>121682.4</v>
      </c>
      <c r="CV3" s="3">
        <v>120168.5</v>
      </c>
      <c r="CW3" s="3">
        <v>120459.6</v>
      </c>
      <c r="CX3" s="3">
        <v>121715</v>
      </c>
      <c r="CY3" s="3">
        <v>122032.2</v>
      </c>
      <c r="CZ3" s="3">
        <v>123053.8</v>
      </c>
      <c r="DA3" s="3">
        <v>123475</v>
      </c>
      <c r="DB3" s="3">
        <v>123402.5</v>
      </c>
      <c r="DC3" s="3">
        <v>125828</v>
      </c>
      <c r="DD3" s="3">
        <v>124428</v>
      </c>
      <c r="DE3" s="3">
        <v>126886.7</v>
      </c>
      <c r="DF3" s="3">
        <v>129672.5</v>
      </c>
      <c r="DG3" s="3">
        <v>129945.4</v>
      </c>
      <c r="DH3" s="3">
        <v>132166.20000000001</v>
      </c>
      <c r="DI3" s="3">
        <v>129867.2</v>
      </c>
      <c r="DJ3" s="3">
        <v>132299.29999999999</v>
      </c>
      <c r="DK3" s="3">
        <v>134763</v>
      </c>
      <c r="DL3" s="3">
        <v>135915.29999999999</v>
      </c>
      <c r="DM3" s="3">
        <v>136114.29999999999</v>
      </c>
      <c r="DN3" s="3">
        <v>133641.5</v>
      </c>
      <c r="DO3" s="3">
        <v>135403.1</v>
      </c>
      <c r="DP3" s="3">
        <v>135992.1</v>
      </c>
      <c r="DQ3" s="3">
        <v>136602.1</v>
      </c>
      <c r="DR3" s="3">
        <v>134955.5</v>
      </c>
      <c r="DS3" s="3">
        <v>125221.6</v>
      </c>
      <c r="DT3" s="3">
        <v>132666.79999999999</v>
      </c>
      <c r="DU3" s="3">
        <v>137924.20000000001</v>
      </c>
      <c r="DV3" s="3">
        <v>140972.79999999999</v>
      </c>
      <c r="DW3" s="3">
        <v>141621.9</v>
      </c>
      <c r="DX3" s="3">
        <v>140492.79999999999</v>
      </c>
      <c r="DY3" s="3">
        <v>142182</v>
      </c>
      <c r="DZ3" s="3">
        <v>146748.5</v>
      </c>
      <c r="EA3" s="3">
        <v>145944.5</v>
      </c>
      <c r="EB3" s="3">
        <v>146099</v>
      </c>
      <c r="EC3" s="3">
        <v>140244.4</v>
      </c>
      <c r="ED3" s="3">
        <v>142428.20000000001</v>
      </c>
      <c r="EE3" s="3">
        <v>145955</v>
      </c>
      <c r="EF3" s="3">
        <v>148402.29999999999</v>
      </c>
      <c r="EG3" s="3">
        <v>150739.70000000001</v>
      </c>
      <c r="EH3" s="3">
        <v>152084.4</v>
      </c>
      <c r="EI3" s="3">
        <v>153441.70000000001</v>
      </c>
      <c r="EJ3" s="3">
        <v>153425.70000000001</v>
      </c>
      <c r="EK3" s="3">
        <v>153581.79999999999</v>
      </c>
      <c r="EL3" s="3">
        <v>152650.29999999999</v>
      </c>
      <c r="EM3" s="3">
        <v>156522.20000000001</v>
      </c>
    </row>
    <row r="4" spans="1:143" ht="20.100000000000001" customHeight="1" x14ac:dyDescent="0.3">
      <c r="A4" s="4" t="s">
        <v>145</v>
      </c>
      <c r="B4" s="3">
        <v>960.1</v>
      </c>
      <c r="C4" s="3">
        <v>889</v>
      </c>
      <c r="D4" s="3">
        <v>989</v>
      </c>
      <c r="E4" s="3">
        <v>1012.8</v>
      </c>
      <c r="F4" s="3">
        <v>905.9</v>
      </c>
      <c r="G4" s="3">
        <v>1059.0999999999999</v>
      </c>
      <c r="H4" s="3">
        <v>1030.9000000000001</v>
      </c>
      <c r="I4" s="3">
        <v>927.6</v>
      </c>
      <c r="J4" s="3">
        <v>877.4</v>
      </c>
      <c r="K4" s="3">
        <v>930.3</v>
      </c>
      <c r="L4" s="3">
        <v>849.5</v>
      </c>
      <c r="M4" s="3">
        <v>807.4</v>
      </c>
      <c r="N4" s="3">
        <v>879.2</v>
      </c>
      <c r="O4" s="3">
        <v>792.6</v>
      </c>
      <c r="P4" s="3">
        <v>847.2</v>
      </c>
      <c r="Q4" s="3">
        <v>932.6</v>
      </c>
      <c r="R4" s="3">
        <v>938.2</v>
      </c>
      <c r="S4" s="3">
        <v>918.4</v>
      </c>
      <c r="T4" s="3">
        <v>955.9</v>
      </c>
      <c r="U4" s="3">
        <v>989.4</v>
      </c>
      <c r="V4" s="3">
        <v>956.5</v>
      </c>
      <c r="W4" s="3">
        <v>936.9</v>
      </c>
      <c r="X4" s="3">
        <v>919.4</v>
      </c>
      <c r="Y4" s="3">
        <v>926.8</v>
      </c>
      <c r="Z4" s="3">
        <v>954.5</v>
      </c>
      <c r="AA4" s="3">
        <v>909.5</v>
      </c>
      <c r="AB4" s="3">
        <v>943.9</v>
      </c>
      <c r="AC4" s="3">
        <v>917.3</v>
      </c>
      <c r="AD4" s="3">
        <v>926.6</v>
      </c>
      <c r="AE4" s="3">
        <v>896.9</v>
      </c>
      <c r="AF4" s="3">
        <v>912.7</v>
      </c>
      <c r="AG4" s="3">
        <v>937.7</v>
      </c>
      <c r="AH4" s="3">
        <v>760.8</v>
      </c>
      <c r="AI4" s="3">
        <v>742.8</v>
      </c>
      <c r="AJ4" s="3">
        <v>742.7</v>
      </c>
      <c r="AK4" s="3">
        <v>740.7</v>
      </c>
      <c r="AL4" s="3">
        <v>774.5</v>
      </c>
      <c r="AM4" s="3">
        <v>849.4</v>
      </c>
      <c r="AN4" s="3">
        <v>790.2</v>
      </c>
      <c r="AO4" s="3">
        <v>775.6</v>
      </c>
      <c r="AP4" s="3">
        <v>778</v>
      </c>
      <c r="AQ4" s="3">
        <v>798.4</v>
      </c>
      <c r="AR4" s="3">
        <v>780.9</v>
      </c>
      <c r="AS4" s="3">
        <v>821.9</v>
      </c>
      <c r="AT4" s="3">
        <v>735.7</v>
      </c>
      <c r="AU4" s="3">
        <v>792.4</v>
      </c>
      <c r="AV4" s="3">
        <v>841</v>
      </c>
      <c r="AW4" s="3">
        <v>850.5</v>
      </c>
      <c r="AX4" s="3">
        <v>812.4</v>
      </c>
      <c r="AY4" s="3">
        <v>795.6</v>
      </c>
      <c r="AZ4" s="3">
        <v>794.3</v>
      </c>
      <c r="BA4" s="3">
        <v>803.6</v>
      </c>
      <c r="BB4" s="3">
        <v>819.2</v>
      </c>
      <c r="BC4" s="3">
        <v>800.5</v>
      </c>
      <c r="BD4" s="3">
        <v>821.9</v>
      </c>
      <c r="BE4" s="3">
        <v>845.6</v>
      </c>
      <c r="BF4" s="3">
        <v>832.6</v>
      </c>
      <c r="BG4" s="3">
        <v>797</v>
      </c>
      <c r="BH4" s="3">
        <v>791.6</v>
      </c>
      <c r="BI4" s="3">
        <v>775.4</v>
      </c>
      <c r="BJ4" s="3">
        <v>755.9</v>
      </c>
      <c r="BK4" s="3">
        <v>783.2</v>
      </c>
      <c r="BL4" s="3">
        <v>789.1</v>
      </c>
      <c r="BM4" s="3">
        <v>800.9</v>
      </c>
      <c r="BN4" s="3">
        <v>807.9</v>
      </c>
      <c r="BO4" s="3">
        <v>772.3</v>
      </c>
      <c r="BP4" s="3">
        <v>734.3</v>
      </c>
      <c r="BQ4" s="3">
        <v>780.3</v>
      </c>
      <c r="BR4" s="3">
        <v>774.5</v>
      </c>
      <c r="BS4" s="3">
        <v>721.2</v>
      </c>
      <c r="BT4" s="3">
        <v>698.4</v>
      </c>
      <c r="BU4" s="3">
        <v>686.1</v>
      </c>
      <c r="BV4" s="3">
        <v>729</v>
      </c>
      <c r="BW4" s="3">
        <v>744</v>
      </c>
      <c r="BX4" s="3">
        <v>706.1</v>
      </c>
      <c r="BY4" s="3">
        <v>698.2</v>
      </c>
      <c r="BZ4" s="3">
        <v>699.9</v>
      </c>
      <c r="CA4" s="3">
        <v>767.1</v>
      </c>
      <c r="CB4" s="3">
        <v>689.3</v>
      </c>
      <c r="CC4" s="3">
        <v>654.79999999999995</v>
      </c>
      <c r="CD4" s="3">
        <v>695.2</v>
      </c>
      <c r="CE4" s="3">
        <v>610.5</v>
      </c>
      <c r="CF4" s="3">
        <v>602.20000000000005</v>
      </c>
      <c r="CG4" s="3">
        <v>622</v>
      </c>
      <c r="CH4" s="3">
        <v>542.6</v>
      </c>
      <c r="CI4" s="3">
        <v>546</v>
      </c>
      <c r="CJ4" s="3">
        <v>561.70000000000005</v>
      </c>
      <c r="CK4" s="3">
        <v>559</v>
      </c>
      <c r="CL4" s="3">
        <v>533.5</v>
      </c>
      <c r="CM4" s="3">
        <v>533.79999999999995</v>
      </c>
      <c r="CN4" s="3">
        <v>525.5</v>
      </c>
      <c r="CO4" s="3">
        <v>535.4</v>
      </c>
      <c r="CP4" s="3">
        <v>555.9</v>
      </c>
      <c r="CQ4" s="3">
        <v>564</v>
      </c>
      <c r="CR4" s="3">
        <v>543.70000000000005</v>
      </c>
      <c r="CS4" s="3">
        <v>558.4</v>
      </c>
      <c r="CT4" s="3">
        <v>581.1</v>
      </c>
      <c r="CU4" s="3">
        <v>576.1</v>
      </c>
      <c r="CV4" s="3">
        <v>557.4</v>
      </c>
      <c r="CW4" s="3">
        <v>514.6</v>
      </c>
      <c r="CX4" s="3">
        <v>491.7</v>
      </c>
      <c r="CY4" s="3">
        <v>502.8</v>
      </c>
      <c r="CZ4" s="3">
        <v>518.20000000000005</v>
      </c>
      <c r="DA4" s="3">
        <v>512.29999999999995</v>
      </c>
      <c r="DB4" s="3">
        <v>523.5</v>
      </c>
      <c r="DC4" s="3">
        <v>524.79999999999995</v>
      </c>
      <c r="DD4" s="3">
        <v>584</v>
      </c>
      <c r="DE4" s="3">
        <v>534.29999999999995</v>
      </c>
      <c r="DF4" s="3">
        <v>549.79999999999995</v>
      </c>
      <c r="DG4" s="3">
        <v>544.6</v>
      </c>
      <c r="DH4" s="3">
        <v>521.20000000000005</v>
      </c>
      <c r="DI4" s="3">
        <v>453.7</v>
      </c>
      <c r="DJ4" s="3">
        <v>494.3</v>
      </c>
      <c r="DK4" s="3">
        <v>482.1</v>
      </c>
      <c r="DL4" s="3">
        <v>465.1</v>
      </c>
      <c r="DM4" s="3">
        <v>467.3</v>
      </c>
      <c r="DN4" s="3">
        <v>458.1</v>
      </c>
      <c r="DO4" s="3">
        <v>454.4</v>
      </c>
      <c r="DP4" s="3">
        <v>435.8</v>
      </c>
      <c r="DQ4" s="3">
        <v>446.2</v>
      </c>
      <c r="DR4" s="3">
        <v>452.7</v>
      </c>
      <c r="DS4" s="3">
        <v>427.5</v>
      </c>
      <c r="DT4" s="3">
        <v>413.4</v>
      </c>
      <c r="DU4" s="3">
        <v>443.5</v>
      </c>
      <c r="DV4" s="3">
        <v>464.1</v>
      </c>
      <c r="DW4" s="3">
        <v>510.2</v>
      </c>
      <c r="DX4" s="3">
        <v>522.70000000000005</v>
      </c>
      <c r="DY4" s="3">
        <v>477.9</v>
      </c>
      <c r="DZ4" s="3">
        <v>438.6</v>
      </c>
      <c r="EA4" s="3">
        <v>441.1</v>
      </c>
      <c r="EB4" s="3">
        <v>478.1</v>
      </c>
      <c r="EC4" s="3">
        <v>427.5</v>
      </c>
      <c r="ED4" s="3">
        <v>433.7</v>
      </c>
      <c r="EE4" s="3">
        <v>420.8</v>
      </c>
      <c r="EF4" s="3">
        <v>432.8</v>
      </c>
      <c r="EG4" s="3">
        <v>461</v>
      </c>
      <c r="EH4" s="3">
        <v>419</v>
      </c>
      <c r="EI4" s="3">
        <v>405</v>
      </c>
      <c r="EJ4" s="3">
        <v>402.3</v>
      </c>
      <c r="EK4" s="3">
        <v>394.4</v>
      </c>
      <c r="EL4" s="3">
        <v>362.3</v>
      </c>
      <c r="EM4" s="3">
        <v>356.5</v>
      </c>
    </row>
    <row r="5" spans="1:143" ht="20.100000000000001" customHeight="1" x14ac:dyDescent="0.3">
      <c r="A5" s="4" t="s">
        <v>146</v>
      </c>
      <c r="B5" s="3">
        <v>22125.4</v>
      </c>
      <c r="C5" s="3">
        <v>22851.200000000001</v>
      </c>
      <c r="D5" s="3">
        <v>23890.3</v>
      </c>
      <c r="E5" s="3">
        <v>24158.3</v>
      </c>
      <c r="F5" s="3">
        <v>25392.400000000001</v>
      </c>
      <c r="G5" s="3">
        <v>25986.3</v>
      </c>
      <c r="H5" s="3">
        <v>26845.200000000001</v>
      </c>
      <c r="I5" s="3">
        <v>28220.7</v>
      </c>
      <c r="J5" s="3">
        <v>28025.5</v>
      </c>
      <c r="K5" s="3">
        <v>28330.2</v>
      </c>
      <c r="L5" s="3">
        <v>28214.7</v>
      </c>
      <c r="M5" s="3">
        <v>28583.5</v>
      </c>
      <c r="N5" s="3">
        <v>29199.8</v>
      </c>
      <c r="O5" s="3">
        <v>29968.9</v>
      </c>
      <c r="P5" s="3">
        <v>30684.799999999999</v>
      </c>
      <c r="Q5" s="3">
        <v>31492.6</v>
      </c>
      <c r="R5" s="3">
        <v>32522.400000000001</v>
      </c>
      <c r="S5" s="3">
        <v>33580.800000000003</v>
      </c>
      <c r="T5" s="3">
        <v>33688.699999999997</v>
      </c>
      <c r="U5" s="3">
        <v>35999.300000000003</v>
      </c>
      <c r="V5" s="3">
        <v>37106.699999999997</v>
      </c>
      <c r="W5" s="3">
        <v>38176</v>
      </c>
      <c r="X5" s="3">
        <v>38840.699999999997</v>
      </c>
      <c r="Y5" s="3">
        <v>39859.9</v>
      </c>
      <c r="Z5" s="3">
        <v>40985.300000000003</v>
      </c>
      <c r="AA5" s="3">
        <v>41426.699999999997</v>
      </c>
      <c r="AB5" s="3">
        <v>42228.2</v>
      </c>
      <c r="AC5" s="3">
        <v>42949.2</v>
      </c>
      <c r="AD5" s="3">
        <v>43349.1</v>
      </c>
      <c r="AE5" s="3">
        <v>45444.7</v>
      </c>
      <c r="AF5" s="3">
        <v>45104.4</v>
      </c>
      <c r="AG5" s="3">
        <v>44031.6</v>
      </c>
      <c r="AH5" s="3">
        <v>40801.300000000003</v>
      </c>
      <c r="AI5" s="3">
        <v>39782.199999999997</v>
      </c>
      <c r="AJ5" s="3">
        <v>40927.199999999997</v>
      </c>
      <c r="AK5" s="3">
        <v>43394.8</v>
      </c>
      <c r="AL5" s="3">
        <v>44156.7</v>
      </c>
      <c r="AM5" s="3">
        <v>48604</v>
      </c>
      <c r="AN5" s="3">
        <v>51054.9</v>
      </c>
      <c r="AO5" s="3">
        <v>53338.5</v>
      </c>
      <c r="AP5" s="3">
        <v>55198.3</v>
      </c>
      <c r="AQ5" s="3">
        <v>56319.5</v>
      </c>
      <c r="AR5" s="3">
        <v>59415.8</v>
      </c>
      <c r="AS5" s="3">
        <v>57600.800000000003</v>
      </c>
      <c r="AT5" s="3">
        <v>58166</v>
      </c>
      <c r="AU5" s="3">
        <v>58693.4</v>
      </c>
      <c r="AV5" s="3">
        <v>58915.1</v>
      </c>
      <c r="AW5" s="3">
        <v>59427</v>
      </c>
      <c r="AX5" s="3">
        <v>61575.5</v>
      </c>
      <c r="AY5" s="3">
        <v>63915.3</v>
      </c>
      <c r="AZ5" s="3">
        <v>65437.8</v>
      </c>
      <c r="BA5" s="3">
        <v>66011</v>
      </c>
      <c r="BB5" s="3">
        <v>65468.4</v>
      </c>
      <c r="BC5" s="3">
        <v>65519.7</v>
      </c>
      <c r="BD5" s="3">
        <v>67518.8</v>
      </c>
      <c r="BE5" s="3">
        <v>70718.5</v>
      </c>
      <c r="BF5" s="3">
        <v>72823.3</v>
      </c>
      <c r="BG5" s="3">
        <v>74368.7</v>
      </c>
      <c r="BH5" s="3">
        <v>74359.5</v>
      </c>
      <c r="BI5" s="3">
        <v>74967.5</v>
      </c>
      <c r="BJ5" s="3">
        <v>75363.399999999994</v>
      </c>
      <c r="BK5" s="3">
        <v>76933.3</v>
      </c>
      <c r="BL5" s="3">
        <v>78807.8</v>
      </c>
      <c r="BM5" s="3">
        <v>80265.5</v>
      </c>
      <c r="BN5" s="3">
        <v>82247.7</v>
      </c>
      <c r="BO5" s="3">
        <v>82841.600000000006</v>
      </c>
      <c r="BP5" s="3">
        <v>85276.2</v>
      </c>
      <c r="BQ5" s="3">
        <v>85027.4</v>
      </c>
      <c r="BR5" s="3">
        <v>87719.9</v>
      </c>
      <c r="BS5" s="3">
        <v>89656.4</v>
      </c>
      <c r="BT5" s="3">
        <v>91011.7</v>
      </c>
      <c r="BU5" s="3">
        <v>93492.9</v>
      </c>
      <c r="BV5" s="3">
        <v>94948.2</v>
      </c>
      <c r="BW5" s="3">
        <v>95661.1</v>
      </c>
      <c r="BX5" s="3">
        <v>95951.8</v>
      </c>
      <c r="BY5" s="3">
        <v>87319.9</v>
      </c>
      <c r="BZ5" s="3">
        <v>86032.8</v>
      </c>
      <c r="CA5" s="3">
        <v>88718.399999999994</v>
      </c>
      <c r="CB5" s="3">
        <v>96365.8</v>
      </c>
      <c r="CC5" s="3">
        <v>96537.2</v>
      </c>
      <c r="CD5" s="3">
        <v>100033.3</v>
      </c>
      <c r="CE5" s="3">
        <v>104123</v>
      </c>
      <c r="CF5" s="3">
        <v>106275</v>
      </c>
      <c r="CG5" s="3">
        <v>108792.9</v>
      </c>
      <c r="CH5" s="3">
        <v>110365.5</v>
      </c>
      <c r="CI5" s="3">
        <v>109626</v>
      </c>
      <c r="CJ5" s="3">
        <v>110189.5</v>
      </c>
      <c r="CK5" s="3">
        <v>110637.6</v>
      </c>
      <c r="CL5" s="3">
        <v>111593.3</v>
      </c>
      <c r="CM5" s="3">
        <v>111793.3</v>
      </c>
      <c r="CN5" s="3">
        <v>112156</v>
      </c>
      <c r="CO5" s="3">
        <v>112988.9</v>
      </c>
      <c r="CP5" s="3">
        <v>114192</v>
      </c>
      <c r="CQ5" s="3">
        <v>115589.7</v>
      </c>
      <c r="CR5" s="3">
        <v>116636.5</v>
      </c>
      <c r="CS5" s="3">
        <v>117820.5</v>
      </c>
      <c r="CT5" s="3">
        <v>119099.6</v>
      </c>
      <c r="CU5" s="3">
        <v>121110.5</v>
      </c>
      <c r="CV5" s="3">
        <v>119614.3</v>
      </c>
      <c r="CW5" s="3">
        <v>119944.2</v>
      </c>
      <c r="CX5" s="3">
        <v>121219.9</v>
      </c>
      <c r="CY5" s="3">
        <v>121526.8</v>
      </c>
      <c r="CZ5" s="3">
        <v>122534</v>
      </c>
      <c r="DA5" s="3">
        <v>122960.5</v>
      </c>
      <c r="DB5" s="3">
        <v>122876.6</v>
      </c>
      <c r="DC5" s="3">
        <v>125300.6</v>
      </c>
      <c r="DD5" s="3">
        <v>123841.60000000001</v>
      </c>
      <c r="DE5" s="3">
        <v>126349.8</v>
      </c>
      <c r="DF5" s="3">
        <v>129120.2</v>
      </c>
      <c r="DG5" s="3">
        <v>129398.39999999999</v>
      </c>
      <c r="DH5" s="3">
        <v>131643.1</v>
      </c>
      <c r="DI5" s="3">
        <v>129412.4</v>
      </c>
      <c r="DJ5" s="3">
        <v>131803.9</v>
      </c>
      <c r="DK5" s="3">
        <v>134280.20000000001</v>
      </c>
      <c r="DL5" s="3">
        <v>135450</v>
      </c>
      <c r="DM5" s="3">
        <v>135646.79999999999</v>
      </c>
      <c r="DN5" s="3">
        <v>133182.9</v>
      </c>
      <c r="DO5" s="3">
        <v>134948.4</v>
      </c>
      <c r="DP5" s="3">
        <v>135556.1</v>
      </c>
      <c r="DQ5" s="3">
        <v>136155.70000000001</v>
      </c>
      <c r="DR5" s="3">
        <v>134502.20000000001</v>
      </c>
      <c r="DS5" s="3">
        <v>124793.2</v>
      </c>
      <c r="DT5" s="3">
        <v>132254.5</v>
      </c>
      <c r="DU5" s="3">
        <v>137481.1</v>
      </c>
      <c r="DV5" s="3">
        <v>140508.79999999999</v>
      </c>
      <c r="DW5" s="3">
        <v>141111.79999999999</v>
      </c>
      <c r="DX5" s="3">
        <v>139970.20000000001</v>
      </c>
      <c r="DY5" s="3">
        <v>141704.1</v>
      </c>
      <c r="DZ5" s="3">
        <v>146302.6</v>
      </c>
      <c r="EA5" s="3">
        <v>145496.6</v>
      </c>
      <c r="EB5" s="3">
        <v>145617.79999999999</v>
      </c>
      <c r="EC5" s="3">
        <v>139810.79999999999</v>
      </c>
      <c r="ED5" s="3">
        <v>141988.5</v>
      </c>
      <c r="EE5" s="3">
        <v>145526.9</v>
      </c>
      <c r="EF5" s="3">
        <v>147962.20000000001</v>
      </c>
      <c r="EG5" s="3">
        <v>150272.5</v>
      </c>
      <c r="EH5" s="3">
        <v>151665.20000000001</v>
      </c>
      <c r="EI5" s="3">
        <v>153040.1</v>
      </c>
      <c r="EJ5" s="3">
        <v>153027.29999999999</v>
      </c>
      <c r="EK5" s="3">
        <v>153192.9</v>
      </c>
      <c r="EL5" s="3">
        <v>152300.9</v>
      </c>
      <c r="EM5" s="3">
        <v>156182.5</v>
      </c>
    </row>
    <row r="6" spans="1:143" ht="20.100000000000001" customHeight="1" x14ac:dyDescent="0.3">
      <c r="A6" s="4" t="s">
        <v>147</v>
      </c>
      <c r="B6" s="3">
        <v>2914.5</v>
      </c>
      <c r="C6" s="3">
        <v>3011.9</v>
      </c>
      <c r="D6" s="3">
        <v>3101.5</v>
      </c>
      <c r="E6" s="3">
        <v>2991.7</v>
      </c>
      <c r="F6" s="3">
        <v>3231.3</v>
      </c>
      <c r="G6" s="3">
        <v>3292.8</v>
      </c>
      <c r="H6" s="3">
        <v>3331.3</v>
      </c>
      <c r="I6" s="3">
        <v>3375.9</v>
      </c>
      <c r="J6" s="3">
        <v>3380</v>
      </c>
      <c r="K6" s="3">
        <v>3376</v>
      </c>
      <c r="L6" s="3">
        <v>3370.6</v>
      </c>
      <c r="M6" s="3">
        <v>3370.8</v>
      </c>
      <c r="N6" s="3">
        <v>3404.3</v>
      </c>
      <c r="O6" s="3">
        <v>3462.7</v>
      </c>
      <c r="P6" s="3">
        <v>3544.5</v>
      </c>
      <c r="Q6" s="3">
        <v>3593.2</v>
      </c>
      <c r="R6" s="3">
        <v>3575.6</v>
      </c>
      <c r="S6" s="3">
        <v>3693.9</v>
      </c>
      <c r="T6" s="3">
        <v>3828.4</v>
      </c>
      <c r="U6" s="3">
        <v>3777.5</v>
      </c>
      <c r="V6" s="3">
        <v>3751.8</v>
      </c>
      <c r="W6" s="3">
        <v>3851.6</v>
      </c>
      <c r="X6" s="3">
        <v>3747.1</v>
      </c>
      <c r="Y6" s="3">
        <v>3822.2</v>
      </c>
      <c r="Z6" s="3">
        <v>3973.6</v>
      </c>
      <c r="AA6" s="3">
        <v>4010.3</v>
      </c>
      <c r="AB6" s="3">
        <v>3985.3</v>
      </c>
      <c r="AC6" s="3">
        <v>4059.4</v>
      </c>
      <c r="AD6" s="3">
        <v>4120.8</v>
      </c>
      <c r="AE6" s="3">
        <v>4144</v>
      </c>
      <c r="AF6" s="3">
        <v>4035.8</v>
      </c>
      <c r="AG6" s="3">
        <v>3979.8</v>
      </c>
      <c r="AH6" s="3">
        <v>3734.3</v>
      </c>
      <c r="AI6" s="3">
        <v>3727</v>
      </c>
      <c r="AJ6" s="3">
        <v>3810.8</v>
      </c>
      <c r="AK6" s="3">
        <v>3891.2</v>
      </c>
      <c r="AL6" s="3">
        <v>3697.6</v>
      </c>
      <c r="AM6" s="3">
        <v>3879.4</v>
      </c>
      <c r="AN6" s="3">
        <v>3917.3</v>
      </c>
      <c r="AO6" s="3">
        <v>4097.3999999999996</v>
      </c>
      <c r="AP6" s="3">
        <v>4215.3</v>
      </c>
      <c r="AQ6" s="3">
        <v>4171.5</v>
      </c>
      <c r="AR6" s="3">
        <v>4244.6000000000004</v>
      </c>
      <c r="AS6" s="3">
        <v>4167.8999999999996</v>
      </c>
      <c r="AT6" s="3">
        <v>4129</v>
      </c>
      <c r="AU6" s="3">
        <v>4264.3</v>
      </c>
      <c r="AV6" s="3">
        <v>4297.8999999999996</v>
      </c>
      <c r="AW6" s="3">
        <v>4120.5</v>
      </c>
      <c r="AX6" s="3">
        <v>4403</v>
      </c>
      <c r="AY6" s="3">
        <v>4447.7</v>
      </c>
      <c r="AZ6" s="3">
        <v>4429.2</v>
      </c>
      <c r="BA6" s="3">
        <v>4437.7</v>
      </c>
      <c r="BB6" s="3">
        <v>4332.2</v>
      </c>
      <c r="BC6" s="3">
        <v>4305.6000000000004</v>
      </c>
      <c r="BD6" s="3">
        <v>4419.3</v>
      </c>
      <c r="BE6" s="3">
        <v>4411.3</v>
      </c>
      <c r="BF6" s="3">
        <v>4511.5</v>
      </c>
      <c r="BG6" s="3">
        <v>4475.7</v>
      </c>
      <c r="BH6" s="3">
        <v>4420.5</v>
      </c>
      <c r="BI6" s="3">
        <v>4454.3999999999996</v>
      </c>
      <c r="BJ6" s="3">
        <v>4349.2</v>
      </c>
      <c r="BK6" s="3">
        <v>4446.2</v>
      </c>
      <c r="BL6" s="3">
        <v>4540.7</v>
      </c>
      <c r="BM6" s="3">
        <v>4487.7</v>
      </c>
      <c r="BN6" s="3">
        <v>4471.8999999999996</v>
      </c>
      <c r="BO6" s="3">
        <v>4448.8999999999996</v>
      </c>
      <c r="BP6" s="3">
        <v>4657.7</v>
      </c>
      <c r="BQ6" s="3">
        <v>4474.2</v>
      </c>
      <c r="BR6" s="3">
        <v>4546.6000000000004</v>
      </c>
      <c r="BS6" s="3">
        <v>4612.3</v>
      </c>
      <c r="BT6" s="3">
        <v>4611.8</v>
      </c>
      <c r="BU6" s="3">
        <v>4642.8</v>
      </c>
      <c r="BV6" s="3">
        <v>4785.1000000000004</v>
      </c>
      <c r="BW6" s="3">
        <v>4795.3999999999996</v>
      </c>
      <c r="BX6" s="3">
        <v>4713.7</v>
      </c>
      <c r="BY6" s="3">
        <v>4579.3999999999996</v>
      </c>
      <c r="BZ6" s="3">
        <v>4470.6000000000004</v>
      </c>
      <c r="CA6" s="3">
        <v>4558</v>
      </c>
      <c r="CB6" s="3">
        <v>4750.5</v>
      </c>
      <c r="CC6" s="3">
        <v>4657.5</v>
      </c>
      <c r="CD6" s="3">
        <v>4621.1000000000004</v>
      </c>
      <c r="CE6" s="3">
        <v>4582.8999999999996</v>
      </c>
      <c r="CF6" s="3">
        <v>4671.6000000000004</v>
      </c>
      <c r="CG6" s="3">
        <v>4746.8999999999996</v>
      </c>
      <c r="CH6" s="3">
        <v>4577.3</v>
      </c>
      <c r="CI6" s="3">
        <v>4602.8999999999996</v>
      </c>
      <c r="CJ6" s="3">
        <v>4612.3999999999996</v>
      </c>
      <c r="CK6" s="3">
        <v>4691.3</v>
      </c>
      <c r="CL6" s="3">
        <v>4888.8</v>
      </c>
      <c r="CM6" s="3">
        <v>4967.5</v>
      </c>
      <c r="CN6" s="3">
        <v>5212</v>
      </c>
      <c r="CO6" s="3">
        <v>5005.6000000000004</v>
      </c>
      <c r="CP6" s="3">
        <v>5633.1</v>
      </c>
      <c r="CQ6" s="3">
        <v>5462.1</v>
      </c>
      <c r="CR6" s="3">
        <v>5372.2</v>
      </c>
      <c r="CS6" s="3">
        <v>5503.4</v>
      </c>
      <c r="CT6" s="3">
        <v>5593.7</v>
      </c>
      <c r="CU6" s="3">
        <v>5630.1</v>
      </c>
      <c r="CV6" s="3">
        <v>5762.7</v>
      </c>
      <c r="CW6" s="3">
        <v>5726.2</v>
      </c>
      <c r="CX6" s="3">
        <v>5684.2</v>
      </c>
      <c r="CY6" s="3">
        <v>5751</v>
      </c>
      <c r="CZ6" s="3">
        <v>5836.1</v>
      </c>
      <c r="DA6" s="3">
        <v>5867.8</v>
      </c>
      <c r="DB6" s="3">
        <v>5750.8</v>
      </c>
      <c r="DC6" s="3">
        <v>5875.6</v>
      </c>
      <c r="DD6" s="3">
        <v>5814.6</v>
      </c>
      <c r="DE6" s="3">
        <v>5892.5</v>
      </c>
      <c r="DF6" s="3">
        <v>5989.7</v>
      </c>
      <c r="DG6" s="3">
        <v>6099.3</v>
      </c>
      <c r="DH6" s="3">
        <v>6308.1</v>
      </c>
      <c r="DI6" s="3">
        <v>5971.8</v>
      </c>
      <c r="DJ6" s="3">
        <v>6258.8</v>
      </c>
      <c r="DK6" s="3">
        <v>6287.7</v>
      </c>
      <c r="DL6" s="3">
        <v>6177.8</v>
      </c>
      <c r="DM6" s="3">
        <v>6450.1</v>
      </c>
      <c r="DN6" s="3">
        <v>6589.7</v>
      </c>
      <c r="DO6" s="3">
        <v>6706.9</v>
      </c>
      <c r="DP6" s="3">
        <v>6499.6</v>
      </c>
      <c r="DQ6" s="3">
        <v>6593.1</v>
      </c>
      <c r="DR6" s="3">
        <v>6780.7</v>
      </c>
      <c r="DS6" s="3">
        <v>6770.2</v>
      </c>
      <c r="DT6" s="3">
        <v>6830</v>
      </c>
      <c r="DU6" s="3">
        <v>6796.1</v>
      </c>
      <c r="DV6" s="3">
        <v>6930.1</v>
      </c>
      <c r="DW6" s="3">
        <v>6893.4</v>
      </c>
      <c r="DX6" s="3">
        <v>7166.3</v>
      </c>
      <c r="DY6" s="3">
        <v>7577.5</v>
      </c>
      <c r="DZ6" s="3">
        <v>7849.4</v>
      </c>
      <c r="EA6" s="3">
        <v>7812.6</v>
      </c>
      <c r="EB6" s="3">
        <v>8386</v>
      </c>
      <c r="EC6" s="3">
        <v>7910.7</v>
      </c>
      <c r="ED6" s="3">
        <v>7457</v>
      </c>
      <c r="EE6" s="3">
        <v>7691.7</v>
      </c>
      <c r="EF6" s="3">
        <v>7765.1</v>
      </c>
      <c r="EG6" s="3">
        <v>7789.1</v>
      </c>
      <c r="EH6" s="3">
        <v>7921.8</v>
      </c>
      <c r="EI6" s="3">
        <v>7853.3</v>
      </c>
      <c r="EJ6" s="3">
        <v>7947.4</v>
      </c>
      <c r="EK6" s="3">
        <v>8092.9</v>
      </c>
      <c r="EL6" s="3">
        <v>8183.2</v>
      </c>
      <c r="EM6" s="3">
        <v>7898.3</v>
      </c>
    </row>
    <row r="7" spans="1:143" ht="20.100000000000001" customHeight="1" x14ac:dyDescent="0.3">
      <c r="A7" s="4" t="s">
        <v>148</v>
      </c>
      <c r="B7" s="3">
        <v>4831.8</v>
      </c>
      <c r="C7" s="3">
        <v>4925.5</v>
      </c>
      <c r="D7" s="3">
        <v>4977.3</v>
      </c>
      <c r="E7" s="3">
        <v>4766.8999999999996</v>
      </c>
      <c r="F7" s="3">
        <v>4740.3999999999996</v>
      </c>
      <c r="G7" s="3">
        <v>4738.7</v>
      </c>
      <c r="H7" s="3">
        <v>4731.8</v>
      </c>
      <c r="I7" s="3">
        <v>4804.2</v>
      </c>
      <c r="J7" s="3">
        <v>4732</v>
      </c>
      <c r="K7" s="3">
        <v>4651.3</v>
      </c>
      <c r="L7" s="3">
        <v>4537.1000000000004</v>
      </c>
      <c r="M7" s="3">
        <v>4400.8999999999996</v>
      </c>
      <c r="N7" s="3">
        <v>4228.3999999999996</v>
      </c>
      <c r="O7" s="3">
        <v>4140.2</v>
      </c>
      <c r="P7" s="3">
        <v>4191.2</v>
      </c>
      <c r="Q7" s="3">
        <v>4051.2</v>
      </c>
      <c r="R7" s="3">
        <v>4146.7</v>
      </c>
      <c r="S7" s="3">
        <v>4185.3999999999996</v>
      </c>
      <c r="T7" s="3">
        <v>4167.7</v>
      </c>
      <c r="U7" s="3">
        <v>4243.6000000000004</v>
      </c>
      <c r="V7" s="3">
        <v>4097.6000000000004</v>
      </c>
      <c r="W7" s="3">
        <v>3971.2</v>
      </c>
      <c r="X7" s="3">
        <v>3957.2</v>
      </c>
      <c r="Y7" s="3">
        <v>4011</v>
      </c>
      <c r="Z7" s="3">
        <v>4024.6</v>
      </c>
      <c r="AA7" s="3">
        <v>4081.6</v>
      </c>
      <c r="AB7" s="3">
        <v>4004.6</v>
      </c>
      <c r="AC7" s="3">
        <v>3974.2</v>
      </c>
      <c r="AD7" s="3">
        <v>4130.7</v>
      </c>
      <c r="AE7" s="3">
        <v>4187.5</v>
      </c>
      <c r="AF7" s="3">
        <v>4123.8999999999996</v>
      </c>
      <c r="AG7" s="3">
        <v>4061.1</v>
      </c>
      <c r="AH7" s="3">
        <v>3708.9</v>
      </c>
      <c r="AI7" s="3">
        <v>3516.3</v>
      </c>
      <c r="AJ7" s="3">
        <v>3523.4</v>
      </c>
      <c r="AK7" s="3">
        <v>3673.2</v>
      </c>
      <c r="AL7" s="3">
        <v>3998.2</v>
      </c>
      <c r="AM7" s="3">
        <v>4339.2</v>
      </c>
      <c r="AN7" s="3">
        <v>4570</v>
      </c>
      <c r="AO7" s="3">
        <v>4857</v>
      </c>
      <c r="AP7" s="3">
        <v>4651.3</v>
      </c>
      <c r="AQ7" s="3">
        <v>4670.3999999999996</v>
      </c>
      <c r="AR7" s="3">
        <v>4785.3</v>
      </c>
      <c r="AS7" s="3">
        <v>4664.2</v>
      </c>
      <c r="AT7" s="3">
        <v>4715.3999999999996</v>
      </c>
      <c r="AU7" s="3">
        <v>4797</v>
      </c>
      <c r="AV7" s="3">
        <v>4734.8</v>
      </c>
      <c r="AW7" s="3">
        <v>4516.8999999999996</v>
      </c>
      <c r="AX7" s="3">
        <v>4861.3999999999996</v>
      </c>
      <c r="AY7" s="3">
        <v>5039</v>
      </c>
      <c r="AZ7" s="3">
        <v>5031.1000000000004</v>
      </c>
      <c r="BA7" s="3">
        <v>4920.6000000000004</v>
      </c>
      <c r="BB7" s="3">
        <v>4605.3999999999996</v>
      </c>
      <c r="BC7" s="3">
        <v>4460.8</v>
      </c>
      <c r="BD7" s="3">
        <v>4514.3</v>
      </c>
      <c r="BE7" s="3">
        <v>4562.3999999999996</v>
      </c>
      <c r="BF7" s="3">
        <v>4359.3999999999996</v>
      </c>
      <c r="BG7" s="3">
        <v>4309.2</v>
      </c>
      <c r="BH7" s="3">
        <v>4330.8999999999996</v>
      </c>
      <c r="BI7" s="3">
        <v>4295.7</v>
      </c>
      <c r="BJ7" s="3">
        <v>4323.5</v>
      </c>
      <c r="BK7" s="3">
        <v>4370.8</v>
      </c>
      <c r="BL7" s="3">
        <v>4347.1000000000004</v>
      </c>
      <c r="BM7" s="3">
        <v>4434.5</v>
      </c>
      <c r="BN7" s="3">
        <v>4551.3</v>
      </c>
      <c r="BO7" s="3">
        <v>4537.7</v>
      </c>
      <c r="BP7" s="3">
        <v>4619.3</v>
      </c>
      <c r="BQ7" s="3">
        <v>4556.2</v>
      </c>
      <c r="BR7" s="3">
        <v>4618.2</v>
      </c>
      <c r="BS7" s="3">
        <v>4729.8999999999996</v>
      </c>
      <c r="BT7" s="3">
        <v>4663.6000000000004</v>
      </c>
      <c r="BU7" s="3">
        <v>4830.1000000000004</v>
      </c>
      <c r="BV7" s="3">
        <v>4924</v>
      </c>
      <c r="BW7" s="3">
        <v>4928.2</v>
      </c>
      <c r="BX7" s="3">
        <v>4953.5</v>
      </c>
      <c r="BY7" s="3">
        <v>4739.1000000000004</v>
      </c>
      <c r="BZ7" s="3">
        <v>4490.1000000000004</v>
      </c>
      <c r="CA7" s="3">
        <v>4427</v>
      </c>
      <c r="CB7" s="3">
        <v>4694</v>
      </c>
      <c r="CC7" s="3">
        <v>4794</v>
      </c>
      <c r="CD7" s="3">
        <v>4995.1000000000004</v>
      </c>
      <c r="CE7" s="3">
        <v>5249.1</v>
      </c>
      <c r="CF7" s="3">
        <v>5050.3</v>
      </c>
      <c r="CG7" s="3">
        <v>5321.2</v>
      </c>
      <c r="CH7" s="3">
        <v>5299.2</v>
      </c>
      <c r="CI7" s="3">
        <v>5209.7</v>
      </c>
      <c r="CJ7" s="3">
        <v>5101.7</v>
      </c>
      <c r="CK7" s="3">
        <v>5214.8999999999996</v>
      </c>
      <c r="CL7" s="3">
        <v>5554</v>
      </c>
      <c r="CM7" s="3">
        <v>5506.6</v>
      </c>
      <c r="CN7" s="3">
        <v>5494.6</v>
      </c>
      <c r="CO7" s="3">
        <v>5618.3</v>
      </c>
      <c r="CP7" s="3">
        <v>5636.2</v>
      </c>
      <c r="CQ7" s="3">
        <v>5702.6</v>
      </c>
      <c r="CR7" s="3">
        <v>5856</v>
      </c>
      <c r="CS7" s="3">
        <v>5791.4</v>
      </c>
      <c r="CT7" s="3">
        <v>5730.7</v>
      </c>
      <c r="CU7" s="3">
        <v>5877</v>
      </c>
      <c r="CV7" s="3">
        <v>5924.8</v>
      </c>
      <c r="CW7" s="3">
        <v>5818.4</v>
      </c>
      <c r="CX7" s="3">
        <v>5428.1</v>
      </c>
      <c r="CY7" s="3">
        <v>5522.7</v>
      </c>
      <c r="CZ7" s="3">
        <v>5471.9</v>
      </c>
      <c r="DA7" s="3">
        <v>5260.2</v>
      </c>
      <c r="DB7" s="3">
        <v>4905.1000000000004</v>
      </c>
      <c r="DC7" s="3">
        <v>4870.2</v>
      </c>
      <c r="DD7" s="3">
        <v>4855.6000000000004</v>
      </c>
      <c r="DE7" s="3">
        <v>4966.3</v>
      </c>
      <c r="DF7" s="3">
        <v>4950.2</v>
      </c>
      <c r="DG7" s="3">
        <v>4978.2</v>
      </c>
      <c r="DH7" s="3">
        <v>5019.1000000000004</v>
      </c>
      <c r="DI7" s="3">
        <v>4963.8</v>
      </c>
      <c r="DJ7" s="3">
        <v>4904.1000000000004</v>
      </c>
      <c r="DK7" s="3">
        <v>4813.5</v>
      </c>
      <c r="DL7" s="3">
        <v>4553.6000000000004</v>
      </c>
      <c r="DM7" s="3">
        <v>4695</v>
      </c>
      <c r="DN7" s="3">
        <v>4653.2</v>
      </c>
      <c r="DO7" s="3">
        <v>4447.1000000000004</v>
      </c>
      <c r="DP7" s="3">
        <v>4250</v>
      </c>
      <c r="DQ7" s="3">
        <v>4331</v>
      </c>
      <c r="DR7" s="3">
        <v>4585.3</v>
      </c>
      <c r="DS7" s="3">
        <v>3881.2</v>
      </c>
      <c r="DT7" s="3">
        <v>4298.1000000000004</v>
      </c>
      <c r="DU7" s="3">
        <v>4428.3</v>
      </c>
      <c r="DV7" s="3">
        <v>4418.3999999999996</v>
      </c>
      <c r="DW7" s="3">
        <v>3872.1</v>
      </c>
      <c r="DX7" s="3">
        <v>4149.1000000000004</v>
      </c>
      <c r="DY7" s="3">
        <v>4302.8999999999996</v>
      </c>
      <c r="DZ7" s="3">
        <v>4434.3</v>
      </c>
      <c r="EA7" s="3">
        <v>4242.7</v>
      </c>
      <c r="EB7" s="3">
        <v>4158.1000000000004</v>
      </c>
      <c r="EC7" s="3">
        <v>3999.1</v>
      </c>
      <c r="ED7" s="3">
        <v>3669.1</v>
      </c>
      <c r="EE7" s="3">
        <v>3644.8</v>
      </c>
      <c r="EF7" s="3">
        <v>3620.4</v>
      </c>
      <c r="EG7" s="3">
        <v>3513.5</v>
      </c>
      <c r="EH7" s="3">
        <v>3836.4</v>
      </c>
      <c r="EI7" s="3">
        <v>3709.6</v>
      </c>
      <c r="EJ7" s="3">
        <v>3675.9</v>
      </c>
      <c r="EK7" s="3">
        <v>3493.2</v>
      </c>
      <c r="EL7" s="3">
        <v>3727.7</v>
      </c>
      <c r="EM7" s="3">
        <v>3731.4</v>
      </c>
    </row>
    <row r="8" spans="1:143" ht="20.100000000000001" customHeight="1" x14ac:dyDescent="0.3">
      <c r="A8" s="4" t="s">
        <v>149</v>
      </c>
      <c r="B8" s="3">
        <v>1912.5</v>
      </c>
      <c r="C8" s="3">
        <v>1892.6</v>
      </c>
      <c r="D8" s="3">
        <v>1907.6</v>
      </c>
      <c r="E8" s="3">
        <v>1815.1</v>
      </c>
      <c r="F8" s="3">
        <v>2028.2</v>
      </c>
      <c r="G8" s="3">
        <v>2031.5</v>
      </c>
      <c r="H8" s="3">
        <v>2031.5</v>
      </c>
      <c r="I8" s="3">
        <v>2101.1</v>
      </c>
      <c r="J8" s="3">
        <v>2198.1</v>
      </c>
      <c r="K8" s="3">
        <v>2187.4</v>
      </c>
      <c r="L8" s="3">
        <v>2149.1</v>
      </c>
      <c r="M8" s="3">
        <v>2122</v>
      </c>
      <c r="N8" s="3">
        <v>2059.6</v>
      </c>
      <c r="O8" s="3">
        <v>2107.9</v>
      </c>
      <c r="P8" s="3">
        <v>2209</v>
      </c>
      <c r="Q8" s="3">
        <v>2343.8000000000002</v>
      </c>
      <c r="R8" s="3">
        <v>2338.3000000000002</v>
      </c>
      <c r="S8" s="3">
        <v>2485</v>
      </c>
      <c r="T8" s="3">
        <v>2523</v>
      </c>
      <c r="U8" s="3">
        <v>2557.4</v>
      </c>
      <c r="V8" s="3">
        <v>2553.4</v>
      </c>
      <c r="W8" s="3">
        <v>2543.3000000000002</v>
      </c>
      <c r="X8" s="3">
        <v>2572.9</v>
      </c>
      <c r="Y8" s="3">
        <v>2658.5</v>
      </c>
      <c r="Z8" s="3">
        <v>2630.5</v>
      </c>
      <c r="AA8" s="3">
        <v>2584</v>
      </c>
      <c r="AB8" s="3">
        <v>2561.1999999999998</v>
      </c>
      <c r="AC8" s="3">
        <v>2571.3000000000002</v>
      </c>
      <c r="AD8" s="3">
        <v>2748.5</v>
      </c>
      <c r="AE8" s="3">
        <v>2760.7</v>
      </c>
      <c r="AF8" s="3">
        <v>2681</v>
      </c>
      <c r="AG8" s="3">
        <v>2661.7</v>
      </c>
      <c r="AH8" s="3">
        <v>2370.1</v>
      </c>
      <c r="AI8" s="3">
        <v>2190.9</v>
      </c>
      <c r="AJ8" s="3">
        <v>2334.5</v>
      </c>
      <c r="AK8" s="3">
        <v>2364.1</v>
      </c>
      <c r="AL8" s="3">
        <v>2563.5</v>
      </c>
      <c r="AM8" s="3">
        <v>2712</v>
      </c>
      <c r="AN8" s="3">
        <v>2764.9</v>
      </c>
      <c r="AO8" s="3">
        <v>2905.7</v>
      </c>
      <c r="AP8" s="3">
        <v>2868.4</v>
      </c>
      <c r="AQ8" s="3">
        <v>2832.9</v>
      </c>
      <c r="AR8" s="3">
        <v>2795</v>
      </c>
      <c r="AS8" s="3">
        <v>2664.6</v>
      </c>
      <c r="AT8" s="3">
        <v>2644.8</v>
      </c>
      <c r="AU8" s="3">
        <v>2734.6</v>
      </c>
      <c r="AV8" s="3">
        <v>2755.9</v>
      </c>
      <c r="AW8" s="3">
        <v>2655.1</v>
      </c>
      <c r="AX8" s="3">
        <v>2870.3</v>
      </c>
      <c r="AY8" s="3">
        <v>2975.7</v>
      </c>
      <c r="AZ8" s="3">
        <v>3027.9</v>
      </c>
      <c r="BA8" s="3">
        <v>2990.8</v>
      </c>
      <c r="BB8" s="3">
        <v>2944.1</v>
      </c>
      <c r="BC8" s="3">
        <v>2896.1</v>
      </c>
      <c r="BD8" s="3">
        <v>2924.4</v>
      </c>
      <c r="BE8" s="3">
        <v>2983.4</v>
      </c>
      <c r="BF8" s="3">
        <v>2833.5</v>
      </c>
      <c r="BG8" s="3">
        <v>2901.1</v>
      </c>
      <c r="BH8" s="3">
        <v>2871.5</v>
      </c>
      <c r="BI8" s="3">
        <v>2838.3</v>
      </c>
      <c r="BJ8" s="3">
        <v>2809.1</v>
      </c>
      <c r="BK8" s="3">
        <v>2850.3</v>
      </c>
      <c r="BL8" s="3">
        <v>2940</v>
      </c>
      <c r="BM8" s="3">
        <v>2925.8</v>
      </c>
      <c r="BN8" s="3">
        <v>2961.4</v>
      </c>
      <c r="BO8" s="3">
        <v>2952.7</v>
      </c>
      <c r="BP8" s="3">
        <v>3013.3</v>
      </c>
      <c r="BQ8" s="3">
        <v>3019.6</v>
      </c>
      <c r="BR8" s="3">
        <v>3008.6</v>
      </c>
      <c r="BS8" s="3">
        <v>2992.1</v>
      </c>
      <c r="BT8" s="3">
        <v>2954.4</v>
      </c>
      <c r="BU8" s="3">
        <v>3117.6</v>
      </c>
      <c r="BV8" s="3">
        <v>3174.2</v>
      </c>
      <c r="BW8" s="3">
        <v>3174.4</v>
      </c>
      <c r="BX8" s="3">
        <v>3145.3</v>
      </c>
      <c r="BY8" s="3">
        <v>2967.4</v>
      </c>
      <c r="BZ8" s="3">
        <v>3003.3</v>
      </c>
      <c r="CA8" s="3">
        <v>3186.6</v>
      </c>
      <c r="CB8" s="3">
        <v>3479.2</v>
      </c>
      <c r="CC8" s="3">
        <v>3370.7</v>
      </c>
      <c r="CD8" s="3">
        <v>3363.2</v>
      </c>
      <c r="CE8" s="3">
        <v>3396.3</v>
      </c>
      <c r="CF8" s="3">
        <v>3359.6</v>
      </c>
      <c r="CG8" s="3">
        <v>3525.8</v>
      </c>
      <c r="CH8" s="3">
        <v>3560.8</v>
      </c>
      <c r="CI8" s="3">
        <v>3391.4</v>
      </c>
      <c r="CJ8" s="3">
        <v>3415</v>
      </c>
      <c r="CK8" s="3">
        <v>3405.2</v>
      </c>
      <c r="CL8" s="3">
        <v>3437.4</v>
      </c>
      <c r="CM8" s="3">
        <v>3459.2</v>
      </c>
      <c r="CN8" s="3">
        <v>3543</v>
      </c>
      <c r="CO8" s="3">
        <v>3302.5</v>
      </c>
      <c r="CP8" s="3">
        <v>3321.7</v>
      </c>
      <c r="CQ8" s="3">
        <v>3394.2</v>
      </c>
      <c r="CR8" s="3">
        <v>3470.9</v>
      </c>
      <c r="CS8" s="3">
        <v>3523.9</v>
      </c>
      <c r="CT8" s="3">
        <v>3550.8</v>
      </c>
      <c r="CU8" s="3">
        <v>3599.8</v>
      </c>
      <c r="CV8" s="3">
        <v>3553.5</v>
      </c>
      <c r="CW8" s="3">
        <v>3500.6</v>
      </c>
      <c r="CX8" s="3">
        <v>3499.7</v>
      </c>
      <c r="CY8" s="3">
        <v>3535.5</v>
      </c>
      <c r="CZ8" s="3">
        <v>3497.7</v>
      </c>
      <c r="DA8" s="3">
        <v>3677</v>
      </c>
      <c r="DB8" s="3">
        <v>3779</v>
      </c>
      <c r="DC8" s="3">
        <v>3863.3</v>
      </c>
      <c r="DD8" s="3">
        <v>3770.7</v>
      </c>
      <c r="DE8" s="3">
        <v>3746.4</v>
      </c>
      <c r="DF8" s="3">
        <v>3716.4</v>
      </c>
      <c r="DG8" s="3">
        <v>3622.5</v>
      </c>
      <c r="DH8" s="3">
        <v>3534.8</v>
      </c>
      <c r="DI8" s="3">
        <v>3495.1</v>
      </c>
      <c r="DJ8" s="3">
        <v>3574.7</v>
      </c>
      <c r="DK8" s="3">
        <v>3676.5</v>
      </c>
      <c r="DL8" s="3">
        <v>3604.7</v>
      </c>
      <c r="DM8" s="3">
        <v>3694.1</v>
      </c>
      <c r="DN8" s="3">
        <v>3521.6</v>
      </c>
      <c r="DO8" s="3">
        <v>3562.1</v>
      </c>
      <c r="DP8" s="3">
        <v>3601.7</v>
      </c>
      <c r="DQ8" s="3">
        <v>3667.1</v>
      </c>
      <c r="DR8" s="3">
        <v>3637.9</v>
      </c>
      <c r="DS8" s="3">
        <v>3454.5</v>
      </c>
      <c r="DT8" s="3">
        <v>3553.9</v>
      </c>
      <c r="DU8" s="3">
        <v>3567.8</v>
      </c>
      <c r="DV8" s="3">
        <v>3633.2</v>
      </c>
      <c r="DW8" s="3">
        <v>3543.3</v>
      </c>
      <c r="DX8" s="3">
        <v>3582.3</v>
      </c>
      <c r="DY8" s="3">
        <v>3624.5</v>
      </c>
      <c r="DZ8" s="3">
        <v>3594.5</v>
      </c>
      <c r="EA8" s="3">
        <v>3677.2</v>
      </c>
      <c r="EB8" s="3">
        <v>3617.6</v>
      </c>
      <c r="EC8" s="3">
        <v>3469.3</v>
      </c>
      <c r="ED8" s="3">
        <v>3255.7</v>
      </c>
      <c r="EE8" s="3">
        <v>3404.5</v>
      </c>
      <c r="EF8" s="3">
        <v>3389.8</v>
      </c>
      <c r="EG8" s="3">
        <v>3421.1</v>
      </c>
      <c r="EH8" s="3">
        <v>3423</v>
      </c>
      <c r="EI8" s="3">
        <v>3432.7</v>
      </c>
      <c r="EJ8" s="3">
        <v>3392</v>
      </c>
      <c r="EK8" s="3">
        <v>3321.7</v>
      </c>
      <c r="EL8" s="3">
        <v>3286.3</v>
      </c>
      <c r="EM8" s="3">
        <v>3351.2</v>
      </c>
    </row>
    <row r="9" spans="1:143" ht="20.100000000000001" customHeight="1" x14ac:dyDescent="0.3">
      <c r="A9" s="4" t="s">
        <v>150</v>
      </c>
      <c r="B9" s="3">
        <v>889</v>
      </c>
      <c r="C9" s="3">
        <v>712.6</v>
      </c>
      <c r="D9" s="3">
        <v>840.8</v>
      </c>
      <c r="E9" s="3">
        <v>1327.4</v>
      </c>
      <c r="F9" s="3">
        <v>2276.6</v>
      </c>
      <c r="G9" s="3">
        <v>3043.5</v>
      </c>
      <c r="H9" s="3">
        <v>3598.4</v>
      </c>
      <c r="I9" s="3">
        <v>3807.6</v>
      </c>
      <c r="J9" s="3">
        <v>3608.9</v>
      </c>
      <c r="K9" s="3">
        <v>3557</v>
      </c>
      <c r="L9" s="3">
        <v>3586.2</v>
      </c>
      <c r="M9" s="3">
        <v>3868.2</v>
      </c>
      <c r="N9" s="3">
        <v>4333.3</v>
      </c>
      <c r="O9" s="3">
        <v>4698.5</v>
      </c>
      <c r="P9" s="3">
        <v>4759.1000000000004</v>
      </c>
      <c r="Q9" s="3">
        <v>4422.2</v>
      </c>
      <c r="R9" s="3">
        <v>3766.9</v>
      </c>
      <c r="S9" s="3">
        <v>3239.9</v>
      </c>
      <c r="T9" s="3">
        <v>2904.6</v>
      </c>
      <c r="U9" s="3">
        <v>2949.1</v>
      </c>
      <c r="V9" s="3">
        <v>3217.3</v>
      </c>
      <c r="W9" s="3">
        <v>3398.6</v>
      </c>
      <c r="X9" s="3">
        <v>3470.5</v>
      </c>
      <c r="Y9" s="3">
        <v>3426.9</v>
      </c>
      <c r="Z9" s="3">
        <v>3537.4</v>
      </c>
      <c r="AA9" s="3">
        <v>3799.5</v>
      </c>
      <c r="AB9" s="3">
        <v>4408.5</v>
      </c>
      <c r="AC9" s="3">
        <v>5155.2</v>
      </c>
      <c r="AD9" s="3">
        <v>6775</v>
      </c>
      <c r="AE9" s="3">
        <v>7977.4</v>
      </c>
      <c r="AF9" s="3">
        <v>8438.2999999999993</v>
      </c>
      <c r="AG9" s="3">
        <v>7985.8</v>
      </c>
      <c r="AH9" s="3">
        <v>7623.3</v>
      </c>
      <c r="AI9" s="3">
        <v>7346.8</v>
      </c>
      <c r="AJ9" s="3">
        <v>7027.5</v>
      </c>
      <c r="AK9" s="3">
        <v>6824.5</v>
      </c>
      <c r="AL9" s="3">
        <v>6262.6</v>
      </c>
      <c r="AM9" s="3">
        <v>6678.3</v>
      </c>
      <c r="AN9" s="3">
        <v>6693.3</v>
      </c>
      <c r="AO9" s="3">
        <v>6352.2</v>
      </c>
      <c r="AP9" s="3">
        <v>6051.7</v>
      </c>
      <c r="AQ9" s="3">
        <v>6050.1</v>
      </c>
      <c r="AR9" s="3">
        <v>6309.1</v>
      </c>
      <c r="AS9" s="3">
        <v>5975.3</v>
      </c>
      <c r="AT9" s="3">
        <v>6121.4</v>
      </c>
      <c r="AU9" s="3">
        <v>6194.6</v>
      </c>
      <c r="AV9" s="3">
        <v>5814</v>
      </c>
      <c r="AW9" s="3">
        <v>5753.7</v>
      </c>
      <c r="AX9" s="3">
        <v>5362.1</v>
      </c>
      <c r="AY9" s="3">
        <v>5376.9</v>
      </c>
      <c r="AZ9" s="3">
        <v>5652.1</v>
      </c>
      <c r="BA9" s="3">
        <v>5671.1</v>
      </c>
      <c r="BB9" s="3">
        <v>5846.9</v>
      </c>
      <c r="BC9" s="3">
        <v>5687.9</v>
      </c>
      <c r="BD9" s="3">
        <v>5484.6</v>
      </c>
      <c r="BE9" s="3">
        <v>5633.8</v>
      </c>
      <c r="BF9" s="3">
        <v>6400.9</v>
      </c>
      <c r="BG9" s="3">
        <v>6551.5</v>
      </c>
      <c r="BH9" s="3">
        <v>6270.9</v>
      </c>
      <c r="BI9" s="3">
        <v>6501.3</v>
      </c>
      <c r="BJ9" s="3">
        <v>6099.7</v>
      </c>
      <c r="BK9" s="3">
        <v>5974.6</v>
      </c>
      <c r="BL9" s="3">
        <v>6141.8</v>
      </c>
      <c r="BM9" s="3">
        <v>6097.4</v>
      </c>
      <c r="BN9" s="3">
        <v>5954.8</v>
      </c>
      <c r="BO9" s="3">
        <v>5834.6</v>
      </c>
      <c r="BP9" s="3">
        <v>6564</v>
      </c>
      <c r="BQ9" s="3">
        <v>5815.7</v>
      </c>
      <c r="BR9" s="3">
        <v>5225.6000000000004</v>
      </c>
      <c r="BS9" s="3">
        <v>5467.9</v>
      </c>
      <c r="BT9" s="3">
        <v>5517.8</v>
      </c>
      <c r="BU9" s="3">
        <v>5474.2</v>
      </c>
      <c r="BV9" s="3">
        <v>5522.9</v>
      </c>
      <c r="BW9" s="3">
        <v>5490.3</v>
      </c>
      <c r="BX9" s="3">
        <v>5722.3</v>
      </c>
      <c r="BY9" s="3">
        <v>4914.8999999999996</v>
      </c>
      <c r="BZ9" s="3">
        <v>5356.9</v>
      </c>
      <c r="CA9" s="3">
        <v>4576.6000000000004</v>
      </c>
      <c r="CB9" s="3">
        <v>4407.2</v>
      </c>
      <c r="CC9" s="3">
        <v>3864.4</v>
      </c>
      <c r="CD9" s="3">
        <v>4519.8</v>
      </c>
      <c r="CE9" s="3">
        <v>4397.3</v>
      </c>
      <c r="CF9" s="3">
        <v>4413.1000000000004</v>
      </c>
      <c r="CG9" s="3">
        <v>4703.7</v>
      </c>
      <c r="CH9" s="3">
        <v>4548.3999999999996</v>
      </c>
      <c r="CI9" s="3">
        <v>4740.3999999999996</v>
      </c>
      <c r="CJ9" s="3">
        <v>4793.1000000000004</v>
      </c>
      <c r="CK9" s="3">
        <v>4665.3999999999996</v>
      </c>
      <c r="CL9" s="3">
        <v>4189.8</v>
      </c>
      <c r="CM9" s="3">
        <v>4097.8999999999996</v>
      </c>
      <c r="CN9" s="3">
        <v>4246.5</v>
      </c>
      <c r="CO9" s="3">
        <v>4070.8</v>
      </c>
      <c r="CP9" s="3">
        <v>4488.2</v>
      </c>
      <c r="CQ9" s="3">
        <v>3848.5</v>
      </c>
      <c r="CR9" s="3">
        <v>3785.5</v>
      </c>
      <c r="CS9" s="3">
        <v>3807.2</v>
      </c>
      <c r="CT9" s="3">
        <v>4168.1000000000004</v>
      </c>
      <c r="CU9" s="3">
        <v>3975.8</v>
      </c>
      <c r="CV9" s="3">
        <v>3990.2</v>
      </c>
      <c r="CW9" s="3">
        <v>4002.5</v>
      </c>
      <c r="CX9" s="3">
        <v>4334.2</v>
      </c>
      <c r="CY9" s="3">
        <v>4042.8</v>
      </c>
      <c r="CZ9" s="3">
        <v>3860.7</v>
      </c>
      <c r="DA9" s="3">
        <v>3812.9</v>
      </c>
      <c r="DB9" s="3">
        <v>4317.2</v>
      </c>
      <c r="DC9" s="3">
        <v>4137.7</v>
      </c>
      <c r="DD9" s="3">
        <v>3915.5</v>
      </c>
      <c r="DE9" s="3">
        <v>3820.7</v>
      </c>
      <c r="DF9" s="3">
        <v>4063.4</v>
      </c>
      <c r="DG9" s="3">
        <v>3814.7</v>
      </c>
      <c r="DH9" s="3">
        <v>4004.6</v>
      </c>
      <c r="DI9" s="3">
        <v>3922.8</v>
      </c>
      <c r="DJ9" s="3">
        <v>3676.8</v>
      </c>
      <c r="DK9" s="3">
        <v>3617.1</v>
      </c>
      <c r="DL9" s="3">
        <v>3465.1</v>
      </c>
      <c r="DM9" s="3">
        <v>3375.5</v>
      </c>
      <c r="DN9" s="3">
        <v>3001.4</v>
      </c>
      <c r="DO9" s="3">
        <v>2757.3</v>
      </c>
      <c r="DP9" s="3">
        <v>2754.4</v>
      </c>
      <c r="DQ9" s="3">
        <v>2648.7</v>
      </c>
      <c r="DR9" s="3">
        <v>725.2</v>
      </c>
      <c r="DS9" s="3">
        <v>645.4</v>
      </c>
      <c r="DT9" s="3">
        <v>620</v>
      </c>
      <c r="DU9" s="3">
        <v>781.9</v>
      </c>
      <c r="DV9" s="3">
        <v>2036.6</v>
      </c>
      <c r="DW9" s="3">
        <v>2624.4</v>
      </c>
      <c r="DX9" s="3">
        <v>2281.8000000000002</v>
      </c>
      <c r="DY9" s="3">
        <v>1232</v>
      </c>
      <c r="DZ9" s="3">
        <v>2317.6</v>
      </c>
      <c r="EA9" s="3">
        <v>2545.3000000000002</v>
      </c>
      <c r="EB9" s="3">
        <v>2542.1</v>
      </c>
      <c r="EC9" s="3">
        <v>1612.9</v>
      </c>
      <c r="ED9" s="3">
        <v>2017</v>
      </c>
      <c r="EE9" s="3">
        <v>2303.4</v>
      </c>
      <c r="EF9" s="3">
        <v>2161.1</v>
      </c>
      <c r="EG9" s="3">
        <v>2169.5</v>
      </c>
      <c r="EH9" s="3">
        <v>2213.4</v>
      </c>
      <c r="EI9" s="3">
        <v>2368.3000000000002</v>
      </c>
      <c r="EJ9" s="3">
        <v>2368.1999999999998</v>
      </c>
      <c r="EK9" s="3">
        <v>2090.1</v>
      </c>
      <c r="EL9" s="3">
        <v>2090.4</v>
      </c>
      <c r="EM9" s="3">
        <v>2271.9</v>
      </c>
    </row>
    <row r="10" spans="1:143" ht="20.100000000000001" customHeight="1" x14ac:dyDescent="0.3">
      <c r="A10" s="4" t="s">
        <v>151</v>
      </c>
      <c r="B10" s="3">
        <v>4018.9</v>
      </c>
      <c r="C10" s="3">
        <v>4307.2</v>
      </c>
      <c r="D10" s="3">
        <v>4358.5</v>
      </c>
      <c r="E10" s="3">
        <v>4388.3</v>
      </c>
      <c r="F10" s="3">
        <v>4279.7</v>
      </c>
      <c r="G10" s="3">
        <v>4282.3</v>
      </c>
      <c r="H10" s="3">
        <v>4402.3</v>
      </c>
      <c r="I10" s="3">
        <v>4637.6000000000004</v>
      </c>
      <c r="J10" s="3">
        <v>4840.5</v>
      </c>
      <c r="K10" s="3">
        <v>5021.3</v>
      </c>
      <c r="L10" s="3">
        <v>5032.5</v>
      </c>
      <c r="M10" s="3">
        <v>5171.3999999999996</v>
      </c>
      <c r="N10" s="3">
        <v>5033.8999999999996</v>
      </c>
      <c r="O10" s="3">
        <v>5208.3</v>
      </c>
      <c r="P10" s="3">
        <v>5440.1</v>
      </c>
      <c r="Q10" s="3">
        <v>5737.7</v>
      </c>
      <c r="R10" s="3">
        <v>6103.9</v>
      </c>
      <c r="S10" s="3">
        <v>6345.6</v>
      </c>
      <c r="T10" s="3">
        <v>6460.2</v>
      </c>
      <c r="U10" s="3">
        <v>6920.8</v>
      </c>
      <c r="V10" s="3">
        <v>7249.6</v>
      </c>
      <c r="W10" s="3">
        <v>7363.9</v>
      </c>
      <c r="X10" s="3">
        <v>7365.3</v>
      </c>
      <c r="Y10" s="3">
        <v>7435.7</v>
      </c>
      <c r="Z10" s="3">
        <v>7662.2</v>
      </c>
      <c r="AA10" s="3">
        <v>7816.1</v>
      </c>
      <c r="AB10" s="3">
        <v>7900.6</v>
      </c>
      <c r="AC10" s="3">
        <v>7903.6</v>
      </c>
      <c r="AD10" s="3">
        <v>8133.4</v>
      </c>
      <c r="AE10" s="3">
        <v>8264.9</v>
      </c>
      <c r="AF10" s="3">
        <v>8180.5</v>
      </c>
      <c r="AG10" s="3">
        <v>7991.3</v>
      </c>
      <c r="AH10" s="3">
        <v>7885.5</v>
      </c>
      <c r="AI10" s="3">
        <v>7813.9</v>
      </c>
      <c r="AJ10" s="3">
        <v>8057.3</v>
      </c>
      <c r="AK10" s="3">
        <v>8709.7999999999993</v>
      </c>
      <c r="AL10" s="3">
        <v>8649.1</v>
      </c>
      <c r="AM10" s="3">
        <v>9212.7999999999993</v>
      </c>
      <c r="AN10" s="3">
        <v>9764.7999999999993</v>
      </c>
      <c r="AO10" s="3">
        <v>10066.299999999999</v>
      </c>
      <c r="AP10" s="3">
        <v>9878.1</v>
      </c>
      <c r="AQ10" s="3">
        <v>10003.200000000001</v>
      </c>
      <c r="AR10" s="3">
        <v>10369.700000000001</v>
      </c>
      <c r="AS10" s="3">
        <v>10256.9</v>
      </c>
      <c r="AT10" s="3">
        <v>10589</v>
      </c>
      <c r="AU10" s="3">
        <v>11042.2</v>
      </c>
      <c r="AV10" s="3">
        <v>11072.3</v>
      </c>
      <c r="AW10" s="3">
        <v>11010</v>
      </c>
      <c r="AX10" s="3">
        <v>11746.6</v>
      </c>
      <c r="AY10" s="3">
        <v>12117.8</v>
      </c>
      <c r="AZ10" s="3">
        <v>12258.7</v>
      </c>
      <c r="BA10" s="3">
        <v>12345.9</v>
      </c>
      <c r="BB10" s="3">
        <v>11832.5</v>
      </c>
      <c r="BC10" s="3">
        <v>11894.5</v>
      </c>
      <c r="BD10" s="3">
        <v>12222.4</v>
      </c>
      <c r="BE10" s="3">
        <v>12683.8</v>
      </c>
      <c r="BF10" s="3">
        <v>13179.7</v>
      </c>
      <c r="BG10" s="3">
        <v>13376.7</v>
      </c>
      <c r="BH10" s="3">
        <v>13528</v>
      </c>
      <c r="BI10" s="3">
        <v>13547.6</v>
      </c>
      <c r="BJ10" s="3">
        <v>13398.9</v>
      </c>
      <c r="BK10" s="3">
        <v>13441.8</v>
      </c>
      <c r="BL10" s="3">
        <v>13971.6</v>
      </c>
      <c r="BM10" s="3">
        <v>13998.4</v>
      </c>
      <c r="BN10" s="3">
        <v>14210.1</v>
      </c>
      <c r="BO10" s="3">
        <v>14281</v>
      </c>
      <c r="BP10" s="3">
        <v>14500.1</v>
      </c>
      <c r="BQ10" s="3">
        <v>14659.4</v>
      </c>
      <c r="BR10" s="3">
        <v>15047.7</v>
      </c>
      <c r="BS10" s="3">
        <v>15299.8</v>
      </c>
      <c r="BT10" s="3">
        <v>15480.1</v>
      </c>
      <c r="BU10" s="3">
        <v>15867.9</v>
      </c>
      <c r="BV10" s="3">
        <v>16116.6</v>
      </c>
      <c r="BW10" s="3">
        <v>16213</v>
      </c>
      <c r="BX10" s="3">
        <v>16113.3</v>
      </c>
      <c r="BY10" s="3">
        <v>14391.9</v>
      </c>
      <c r="BZ10" s="3">
        <v>14889.5</v>
      </c>
      <c r="CA10" s="3">
        <v>16069.4</v>
      </c>
      <c r="CB10" s="3">
        <v>17365.599999999999</v>
      </c>
      <c r="CC10" s="3">
        <v>16858.599999999999</v>
      </c>
      <c r="CD10" s="3">
        <v>17700.8</v>
      </c>
      <c r="CE10" s="3">
        <v>18010.400000000001</v>
      </c>
      <c r="CF10" s="3">
        <v>18448.599999999999</v>
      </c>
      <c r="CG10" s="3">
        <v>19317.099999999999</v>
      </c>
      <c r="CH10" s="3">
        <v>19561</v>
      </c>
      <c r="CI10" s="3">
        <v>18819.8</v>
      </c>
      <c r="CJ10" s="3">
        <v>18612.7</v>
      </c>
      <c r="CK10" s="3">
        <v>18422</v>
      </c>
      <c r="CL10" s="3">
        <v>19244.900000000001</v>
      </c>
      <c r="CM10" s="3">
        <v>18537.099999999999</v>
      </c>
      <c r="CN10" s="3">
        <v>18768.5</v>
      </c>
      <c r="CO10" s="3">
        <v>18746.2</v>
      </c>
      <c r="CP10" s="3">
        <v>18827.2</v>
      </c>
      <c r="CQ10" s="3">
        <v>19680.900000000001</v>
      </c>
      <c r="CR10" s="3">
        <v>19907.3</v>
      </c>
      <c r="CS10" s="3">
        <v>20054.7</v>
      </c>
      <c r="CT10" s="3">
        <v>19432.400000000001</v>
      </c>
      <c r="CU10" s="3">
        <v>19953.5</v>
      </c>
      <c r="CV10" s="3">
        <v>20032.2</v>
      </c>
      <c r="CW10" s="3">
        <v>20237.8</v>
      </c>
      <c r="CX10" s="3">
        <v>20675.900000000001</v>
      </c>
      <c r="CY10" s="3">
        <v>20459.5</v>
      </c>
      <c r="CZ10" s="3">
        <v>20708</v>
      </c>
      <c r="DA10" s="3">
        <v>20842.599999999999</v>
      </c>
      <c r="DB10" s="3">
        <v>20522.5</v>
      </c>
      <c r="DC10" s="3">
        <v>21257.4</v>
      </c>
      <c r="DD10" s="3">
        <v>21418.7</v>
      </c>
      <c r="DE10" s="3">
        <v>21524.2</v>
      </c>
      <c r="DF10" s="3">
        <v>21498.9</v>
      </c>
      <c r="DG10" s="3">
        <v>21737.7</v>
      </c>
      <c r="DH10" s="3">
        <v>22438.9</v>
      </c>
      <c r="DI10" s="3">
        <v>22023.3</v>
      </c>
      <c r="DJ10" s="3">
        <v>21909.599999999999</v>
      </c>
      <c r="DK10" s="3">
        <v>22504.5</v>
      </c>
      <c r="DL10" s="3">
        <v>22521.5</v>
      </c>
      <c r="DM10" s="3">
        <v>22348.799999999999</v>
      </c>
      <c r="DN10" s="3">
        <v>22348.9</v>
      </c>
      <c r="DO10" s="3">
        <v>22044.7</v>
      </c>
      <c r="DP10" s="3">
        <v>22180.5</v>
      </c>
      <c r="DQ10" s="3">
        <v>22248</v>
      </c>
      <c r="DR10" s="3">
        <v>22375.9</v>
      </c>
      <c r="DS10" s="3">
        <v>20844.599999999999</v>
      </c>
      <c r="DT10" s="3">
        <v>22976.799999999999</v>
      </c>
      <c r="DU10" s="3">
        <v>23004.400000000001</v>
      </c>
      <c r="DV10" s="3">
        <v>22464.799999999999</v>
      </c>
      <c r="DW10" s="3">
        <v>22171.1</v>
      </c>
      <c r="DX10" s="3">
        <v>23168.6</v>
      </c>
      <c r="DY10" s="3">
        <v>23433</v>
      </c>
      <c r="DZ10" s="3">
        <v>24100.7</v>
      </c>
      <c r="EA10" s="3">
        <v>23391.599999999999</v>
      </c>
      <c r="EB10" s="3">
        <v>22358.799999999999</v>
      </c>
      <c r="EC10" s="3">
        <v>22387.200000000001</v>
      </c>
      <c r="ED10" s="3">
        <v>23368.799999999999</v>
      </c>
      <c r="EE10" s="3">
        <v>23363.4</v>
      </c>
      <c r="EF10" s="3">
        <v>22544.2</v>
      </c>
      <c r="EG10" s="3">
        <v>23743.1</v>
      </c>
      <c r="EH10" s="3">
        <v>24475.4</v>
      </c>
      <c r="EI10" s="3">
        <v>25172.400000000001</v>
      </c>
      <c r="EJ10" s="3">
        <v>23636.7</v>
      </c>
      <c r="EK10" s="3">
        <v>24806.799999999999</v>
      </c>
      <c r="EL10" s="3">
        <v>24246.7</v>
      </c>
      <c r="EM10" s="3">
        <v>24702.7</v>
      </c>
    </row>
    <row r="11" spans="1:143" ht="20.100000000000001" customHeight="1" x14ac:dyDescent="0.3">
      <c r="A11" s="4" t="s">
        <v>152</v>
      </c>
      <c r="B11" s="3">
        <v>1284.5</v>
      </c>
      <c r="C11" s="3">
        <v>1292.7</v>
      </c>
      <c r="D11" s="3">
        <v>1401.1</v>
      </c>
      <c r="E11" s="3">
        <v>1441.7</v>
      </c>
      <c r="F11" s="3">
        <v>1506.9</v>
      </c>
      <c r="G11" s="3">
        <v>1463.3</v>
      </c>
      <c r="H11" s="3">
        <v>1455.9</v>
      </c>
      <c r="I11" s="3">
        <v>1549.1</v>
      </c>
      <c r="J11" s="3">
        <v>1708.5</v>
      </c>
      <c r="K11" s="3">
        <v>1636.8</v>
      </c>
      <c r="L11" s="3">
        <v>1599.9</v>
      </c>
      <c r="M11" s="3">
        <v>1560.7</v>
      </c>
      <c r="N11" s="3">
        <v>1577.9</v>
      </c>
      <c r="O11" s="3">
        <v>1638</v>
      </c>
      <c r="P11" s="3">
        <v>1681.3</v>
      </c>
      <c r="Q11" s="3">
        <v>1679.1</v>
      </c>
      <c r="R11" s="3">
        <v>1692.6</v>
      </c>
      <c r="S11" s="3">
        <v>1732.4</v>
      </c>
      <c r="T11" s="3">
        <v>1715.9</v>
      </c>
      <c r="U11" s="3">
        <v>1733.2</v>
      </c>
      <c r="V11" s="3">
        <v>1624.1</v>
      </c>
      <c r="W11" s="3">
        <v>1606.8</v>
      </c>
      <c r="X11" s="3">
        <v>1524.3</v>
      </c>
      <c r="Y11" s="3">
        <v>1681.6</v>
      </c>
      <c r="Z11" s="3">
        <v>1718.7</v>
      </c>
      <c r="AA11" s="3">
        <v>1796</v>
      </c>
      <c r="AB11" s="3">
        <v>1867.9</v>
      </c>
      <c r="AC11" s="3">
        <v>1833.4</v>
      </c>
      <c r="AD11" s="3">
        <v>1866.8</v>
      </c>
      <c r="AE11" s="3">
        <v>1787.1</v>
      </c>
      <c r="AF11" s="3">
        <v>1720.1</v>
      </c>
      <c r="AG11" s="3">
        <v>1721.2</v>
      </c>
      <c r="AH11" s="3">
        <v>1440.6</v>
      </c>
      <c r="AI11" s="3">
        <v>1326.5</v>
      </c>
      <c r="AJ11" s="3">
        <v>1359.8</v>
      </c>
      <c r="AK11" s="3">
        <v>1395.4</v>
      </c>
      <c r="AL11" s="3">
        <v>1481.2</v>
      </c>
      <c r="AM11" s="3">
        <v>1680</v>
      </c>
      <c r="AN11" s="3">
        <v>1780.7</v>
      </c>
      <c r="AO11" s="3">
        <v>1822.4</v>
      </c>
      <c r="AP11" s="3">
        <v>1822.3</v>
      </c>
      <c r="AQ11" s="3">
        <v>1900.5</v>
      </c>
      <c r="AR11" s="3">
        <v>1923.8</v>
      </c>
      <c r="AS11" s="3">
        <v>1972.9</v>
      </c>
      <c r="AT11" s="3">
        <v>1900.2</v>
      </c>
      <c r="AU11" s="3">
        <v>2038.5</v>
      </c>
      <c r="AV11" s="3">
        <v>2113.1</v>
      </c>
      <c r="AW11" s="3">
        <v>2018.7</v>
      </c>
      <c r="AX11" s="3">
        <v>2027.5</v>
      </c>
      <c r="AY11" s="3">
        <v>2041.9</v>
      </c>
      <c r="AZ11" s="3">
        <v>2063.3000000000002</v>
      </c>
      <c r="BA11" s="3">
        <v>2111.9</v>
      </c>
      <c r="BB11" s="3">
        <v>2124</v>
      </c>
      <c r="BC11" s="3">
        <v>2123.9</v>
      </c>
      <c r="BD11" s="3">
        <v>2209.1</v>
      </c>
      <c r="BE11" s="3">
        <v>2254.9</v>
      </c>
      <c r="BF11" s="3">
        <v>2258.4</v>
      </c>
      <c r="BG11" s="3">
        <v>2222.3000000000002</v>
      </c>
      <c r="BH11" s="3">
        <v>2187.6999999999998</v>
      </c>
      <c r="BI11" s="3">
        <v>2187.6999999999998</v>
      </c>
      <c r="BJ11" s="3">
        <v>2117.8000000000002</v>
      </c>
      <c r="BK11" s="3">
        <v>2270.8000000000002</v>
      </c>
      <c r="BL11" s="3">
        <v>2206.6999999999998</v>
      </c>
      <c r="BM11" s="3">
        <v>2218.1999999999998</v>
      </c>
      <c r="BN11" s="3">
        <v>2255.9</v>
      </c>
      <c r="BO11" s="3">
        <v>2226.6</v>
      </c>
      <c r="BP11" s="3">
        <v>2317.8000000000002</v>
      </c>
      <c r="BQ11" s="3">
        <v>2284.3000000000002</v>
      </c>
      <c r="BR11" s="3">
        <v>2287.9</v>
      </c>
      <c r="BS11" s="3">
        <v>2353.4</v>
      </c>
      <c r="BT11" s="3">
        <v>2337.4</v>
      </c>
      <c r="BU11" s="3">
        <v>2494.4</v>
      </c>
      <c r="BV11" s="3">
        <v>2525.6</v>
      </c>
      <c r="BW11" s="3">
        <v>2479.3000000000002</v>
      </c>
      <c r="BX11" s="3">
        <v>2542.9</v>
      </c>
      <c r="BY11" s="3">
        <v>2295.9</v>
      </c>
      <c r="BZ11" s="3">
        <v>2330.8000000000002</v>
      </c>
      <c r="CA11" s="3">
        <v>2415.9</v>
      </c>
      <c r="CB11" s="3">
        <v>2630.7</v>
      </c>
      <c r="CC11" s="3">
        <v>2571.1</v>
      </c>
      <c r="CD11" s="3">
        <v>2717.5</v>
      </c>
      <c r="CE11" s="3">
        <v>2717.9</v>
      </c>
      <c r="CF11" s="3">
        <v>2642.4</v>
      </c>
      <c r="CG11" s="3">
        <v>2633.7</v>
      </c>
      <c r="CH11" s="3">
        <v>2734.8</v>
      </c>
      <c r="CI11" s="3">
        <v>2665.9</v>
      </c>
      <c r="CJ11" s="3">
        <v>2601.3000000000002</v>
      </c>
      <c r="CK11" s="3">
        <v>2717.7</v>
      </c>
      <c r="CL11" s="3">
        <v>2719.1</v>
      </c>
      <c r="CM11" s="3">
        <v>2591.3000000000002</v>
      </c>
      <c r="CN11" s="3">
        <v>2535.6999999999998</v>
      </c>
      <c r="CO11" s="3">
        <v>2555.9</v>
      </c>
      <c r="CP11" s="3">
        <v>2690.9</v>
      </c>
      <c r="CQ11" s="3">
        <v>2785</v>
      </c>
      <c r="CR11" s="3">
        <v>2770.6</v>
      </c>
      <c r="CS11" s="3">
        <v>2760.9</v>
      </c>
      <c r="CT11" s="3">
        <v>2616</v>
      </c>
      <c r="CU11" s="3">
        <v>2717.9</v>
      </c>
      <c r="CV11" s="3">
        <v>2859.6</v>
      </c>
      <c r="CW11" s="3">
        <v>2784.6</v>
      </c>
      <c r="CX11" s="3">
        <v>2715.9</v>
      </c>
      <c r="CY11" s="3">
        <v>2885.8</v>
      </c>
      <c r="CZ11" s="3">
        <v>3025.1</v>
      </c>
      <c r="DA11" s="3">
        <v>2956.7</v>
      </c>
      <c r="DB11" s="3">
        <v>2876.2</v>
      </c>
      <c r="DC11" s="3">
        <v>3056.5</v>
      </c>
      <c r="DD11" s="3">
        <v>3089.7</v>
      </c>
      <c r="DE11" s="3">
        <v>3162.9</v>
      </c>
      <c r="DF11" s="3">
        <v>3465.3</v>
      </c>
      <c r="DG11" s="3">
        <v>3383.9</v>
      </c>
      <c r="DH11" s="3">
        <v>3395</v>
      </c>
      <c r="DI11" s="3">
        <v>3280.2</v>
      </c>
      <c r="DJ11" s="3">
        <v>3358.6</v>
      </c>
      <c r="DK11" s="3">
        <v>3431.4</v>
      </c>
      <c r="DL11" s="3">
        <v>3329.6</v>
      </c>
      <c r="DM11" s="3">
        <v>3410.5</v>
      </c>
      <c r="DN11" s="3">
        <v>3190.2</v>
      </c>
      <c r="DO11" s="3">
        <v>3250.9</v>
      </c>
      <c r="DP11" s="3">
        <v>3153.4</v>
      </c>
      <c r="DQ11" s="3">
        <v>3191.1</v>
      </c>
      <c r="DR11" s="3">
        <v>3031.6</v>
      </c>
      <c r="DS11" s="3">
        <v>2932.8</v>
      </c>
      <c r="DT11" s="3">
        <v>3056</v>
      </c>
      <c r="DU11" s="3">
        <v>3297</v>
      </c>
      <c r="DV11" s="3">
        <v>3056.9</v>
      </c>
      <c r="DW11" s="3">
        <v>3067.6</v>
      </c>
      <c r="DX11" s="3">
        <v>3187.3</v>
      </c>
      <c r="DY11" s="3">
        <v>3023.4</v>
      </c>
      <c r="DZ11" s="3">
        <v>3076.9</v>
      </c>
      <c r="EA11" s="3">
        <v>2884</v>
      </c>
      <c r="EB11" s="3">
        <v>3054.4</v>
      </c>
      <c r="EC11" s="3">
        <v>2803.6</v>
      </c>
      <c r="ED11" s="3">
        <v>2878</v>
      </c>
      <c r="EE11" s="3">
        <v>2695.3</v>
      </c>
      <c r="EF11" s="3">
        <v>2612.8000000000002</v>
      </c>
      <c r="EG11" s="3">
        <v>2647.9</v>
      </c>
      <c r="EH11" s="3">
        <v>2772.7</v>
      </c>
      <c r="EI11" s="3">
        <v>2712</v>
      </c>
      <c r="EJ11" s="3">
        <v>2562.8000000000002</v>
      </c>
      <c r="EK11" s="3">
        <v>2581</v>
      </c>
      <c r="EL11" s="3">
        <v>2403.6999999999998</v>
      </c>
      <c r="EM11" s="3">
        <v>2471.8000000000002</v>
      </c>
    </row>
    <row r="12" spans="1:143" ht="20.100000000000001" customHeight="1" x14ac:dyDescent="0.3">
      <c r="A12" s="4" t="s">
        <v>153</v>
      </c>
      <c r="B12" s="3">
        <v>2915.8</v>
      </c>
      <c r="C12" s="3">
        <v>2953.7</v>
      </c>
      <c r="D12" s="3">
        <v>3129.3</v>
      </c>
      <c r="E12" s="3">
        <v>3249.6</v>
      </c>
      <c r="F12" s="3">
        <v>3215.4</v>
      </c>
      <c r="G12" s="3">
        <v>3237.2</v>
      </c>
      <c r="H12" s="3">
        <v>3249.4</v>
      </c>
      <c r="I12" s="3">
        <v>3394.5</v>
      </c>
      <c r="J12" s="3">
        <v>3543.6</v>
      </c>
      <c r="K12" s="3">
        <v>3562.2</v>
      </c>
      <c r="L12" s="3">
        <v>3487.2</v>
      </c>
      <c r="M12" s="3">
        <v>3648.7</v>
      </c>
      <c r="N12" s="3">
        <v>3455.6</v>
      </c>
      <c r="O12" s="3">
        <v>3606.9</v>
      </c>
      <c r="P12" s="3">
        <v>3738.2</v>
      </c>
      <c r="Q12" s="3">
        <v>3760.1</v>
      </c>
      <c r="R12" s="3">
        <v>3706.3</v>
      </c>
      <c r="S12" s="3">
        <v>3728.2</v>
      </c>
      <c r="T12" s="3">
        <v>3835.1</v>
      </c>
      <c r="U12" s="3">
        <v>4040.6</v>
      </c>
      <c r="V12" s="3">
        <v>4336.2</v>
      </c>
      <c r="W12" s="3">
        <v>4411.3999999999996</v>
      </c>
      <c r="X12" s="3">
        <v>4391.8999999999996</v>
      </c>
      <c r="Y12" s="3">
        <v>4460.3999999999996</v>
      </c>
      <c r="Z12" s="3">
        <v>4544.8</v>
      </c>
      <c r="AA12" s="3">
        <v>4566.8999999999996</v>
      </c>
      <c r="AB12" s="3">
        <v>4557.3999999999996</v>
      </c>
      <c r="AC12" s="3">
        <v>4523.3999999999996</v>
      </c>
      <c r="AD12" s="3">
        <v>4563.5</v>
      </c>
      <c r="AE12" s="3">
        <v>4689.2</v>
      </c>
      <c r="AF12" s="3">
        <v>4634.8999999999996</v>
      </c>
      <c r="AG12" s="3">
        <v>4557.2</v>
      </c>
      <c r="AH12" s="3">
        <v>4167.1000000000004</v>
      </c>
      <c r="AI12" s="3">
        <v>4065.1</v>
      </c>
      <c r="AJ12" s="3">
        <v>4137.8999999999996</v>
      </c>
      <c r="AK12" s="3">
        <v>4344.6000000000004</v>
      </c>
      <c r="AL12" s="3">
        <v>4234.2</v>
      </c>
      <c r="AM12" s="3">
        <v>4487.5</v>
      </c>
      <c r="AN12" s="3">
        <v>4834.8</v>
      </c>
      <c r="AO12" s="3">
        <v>5038.7</v>
      </c>
      <c r="AP12" s="3">
        <v>4991.5</v>
      </c>
      <c r="AQ12" s="3">
        <v>5069.5</v>
      </c>
      <c r="AR12" s="3">
        <v>5098.7</v>
      </c>
      <c r="AS12" s="3">
        <v>5033</v>
      </c>
      <c r="AT12" s="3">
        <v>5250.6</v>
      </c>
      <c r="AU12" s="3">
        <v>5326.9</v>
      </c>
      <c r="AV12" s="3">
        <v>5373</v>
      </c>
      <c r="AW12" s="3">
        <v>5331.5</v>
      </c>
      <c r="AX12" s="3">
        <v>5499.2</v>
      </c>
      <c r="AY12" s="3">
        <v>5797</v>
      </c>
      <c r="AZ12" s="3">
        <v>5901.3</v>
      </c>
      <c r="BA12" s="3">
        <v>5932.6</v>
      </c>
      <c r="BB12" s="3">
        <v>5483.6</v>
      </c>
      <c r="BC12" s="3">
        <v>5611.2</v>
      </c>
      <c r="BD12" s="3">
        <v>5789.9</v>
      </c>
      <c r="BE12" s="3">
        <v>6065.6</v>
      </c>
      <c r="BF12" s="3">
        <v>6342.6</v>
      </c>
      <c r="BG12" s="3">
        <v>6342.3</v>
      </c>
      <c r="BH12" s="3">
        <v>6357.2</v>
      </c>
      <c r="BI12" s="3">
        <v>6273.4</v>
      </c>
      <c r="BJ12" s="3">
        <v>6343.9</v>
      </c>
      <c r="BK12" s="3">
        <v>6272.3</v>
      </c>
      <c r="BL12" s="3">
        <v>6274</v>
      </c>
      <c r="BM12" s="3">
        <v>6424.2</v>
      </c>
      <c r="BN12" s="3">
        <v>5949.7</v>
      </c>
      <c r="BO12" s="3">
        <v>6040</v>
      </c>
      <c r="BP12" s="3">
        <v>6221.2</v>
      </c>
      <c r="BQ12" s="3">
        <v>6236.4</v>
      </c>
      <c r="BR12" s="3">
        <v>6356.6</v>
      </c>
      <c r="BS12" s="3">
        <v>6433.5</v>
      </c>
      <c r="BT12" s="3">
        <v>6356.7</v>
      </c>
      <c r="BU12" s="3">
        <v>6319.2</v>
      </c>
      <c r="BV12" s="3">
        <v>6191</v>
      </c>
      <c r="BW12" s="3">
        <v>6134.7</v>
      </c>
      <c r="BX12" s="3">
        <v>6139.4</v>
      </c>
      <c r="BY12" s="3">
        <v>4966.7</v>
      </c>
      <c r="BZ12" s="3">
        <v>4998.8999999999996</v>
      </c>
      <c r="CA12" s="3">
        <v>5515.2</v>
      </c>
      <c r="CB12" s="3">
        <v>6447</v>
      </c>
      <c r="CC12" s="3">
        <v>6427.4</v>
      </c>
      <c r="CD12" s="3">
        <v>6576.5</v>
      </c>
      <c r="CE12" s="3">
        <v>6794.9</v>
      </c>
      <c r="CF12" s="3">
        <v>6802</v>
      </c>
      <c r="CG12" s="3">
        <v>7131.4</v>
      </c>
      <c r="CH12" s="3">
        <v>7175.9</v>
      </c>
      <c r="CI12" s="3">
        <v>7033.7</v>
      </c>
      <c r="CJ12" s="3">
        <v>7019.8</v>
      </c>
      <c r="CK12" s="3">
        <v>7091.7</v>
      </c>
      <c r="CL12" s="3">
        <v>6932.2</v>
      </c>
      <c r="CM12" s="3">
        <v>6810.3</v>
      </c>
      <c r="CN12" s="3">
        <v>6843.6</v>
      </c>
      <c r="CO12" s="3">
        <v>6774.5</v>
      </c>
      <c r="CP12" s="3">
        <v>6935.3</v>
      </c>
      <c r="CQ12" s="3">
        <v>7060.6</v>
      </c>
      <c r="CR12" s="3">
        <v>7063.3</v>
      </c>
      <c r="CS12" s="3">
        <v>6999.6</v>
      </c>
      <c r="CT12" s="3">
        <v>7255.6</v>
      </c>
      <c r="CU12" s="3">
        <v>7430.8</v>
      </c>
      <c r="CV12" s="3">
        <v>7554.9</v>
      </c>
      <c r="CW12" s="3">
        <v>7551.3</v>
      </c>
      <c r="CX12" s="3">
        <v>7446.5</v>
      </c>
      <c r="CY12" s="3">
        <v>7556.9</v>
      </c>
      <c r="CZ12" s="3">
        <v>7495.2</v>
      </c>
      <c r="DA12" s="3">
        <v>7415.9</v>
      </c>
      <c r="DB12" s="3">
        <v>7378.6</v>
      </c>
      <c r="DC12" s="3">
        <v>7526.7</v>
      </c>
      <c r="DD12" s="3">
        <v>7489.6</v>
      </c>
      <c r="DE12" s="3">
        <v>7518.8</v>
      </c>
      <c r="DF12" s="3">
        <v>7626.3</v>
      </c>
      <c r="DG12" s="3">
        <v>7667.9</v>
      </c>
      <c r="DH12" s="3">
        <v>7716.2</v>
      </c>
      <c r="DI12" s="3">
        <v>7523</v>
      </c>
      <c r="DJ12" s="3">
        <v>7397.6</v>
      </c>
      <c r="DK12" s="3">
        <v>7335.5</v>
      </c>
      <c r="DL12" s="3">
        <v>7266.2</v>
      </c>
      <c r="DM12" s="3">
        <v>7564.7</v>
      </c>
      <c r="DN12" s="3">
        <v>7485.7</v>
      </c>
      <c r="DO12" s="3">
        <v>7396.1</v>
      </c>
      <c r="DP12" s="3">
        <v>7489.8</v>
      </c>
      <c r="DQ12" s="3">
        <v>7584.2</v>
      </c>
      <c r="DR12" s="3">
        <v>7536.5</v>
      </c>
      <c r="DS12" s="3">
        <v>6620.8</v>
      </c>
      <c r="DT12" s="3">
        <v>7358.4</v>
      </c>
      <c r="DU12" s="3">
        <v>7587.7</v>
      </c>
      <c r="DV12" s="3">
        <v>7334.5</v>
      </c>
      <c r="DW12" s="3">
        <v>6983.1</v>
      </c>
      <c r="DX12" s="3">
        <v>6867.4</v>
      </c>
      <c r="DY12" s="3">
        <v>6396.2</v>
      </c>
      <c r="DZ12" s="3">
        <v>5951.1</v>
      </c>
      <c r="EA12" s="3">
        <v>5793.5</v>
      </c>
      <c r="EB12" s="3">
        <v>5442.3</v>
      </c>
      <c r="EC12" s="3">
        <v>5523.6</v>
      </c>
      <c r="ED12" s="3">
        <v>5938.5</v>
      </c>
      <c r="EE12" s="3">
        <v>6002.9</v>
      </c>
      <c r="EF12" s="3">
        <v>5791.8</v>
      </c>
      <c r="EG12" s="3">
        <v>6117.1</v>
      </c>
      <c r="EH12" s="3">
        <v>6203</v>
      </c>
      <c r="EI12" s="3">
        <v>5880.6</v>
      </c>
      <c r="EJ12" s="3">
        <v>5754.5</v>
      </c>
      <c r="EK12" s="3">
        <v>6197.8</v>
      </c>
      <c r="EL12" s="3">
        <v>5936.2</v>
      </c>
      <c r="EM12" s="3">
        <v>6078.7</v>
      </c>
    </row>
    <row r="13" spans="1:143" ht="20.100000000000001" customHeight="1" x14ac:dyDescent="0.3">
      <c r="A13" s="4" t="s">
        <v>154</v>
      </c>
      <c r="B13" s="3">
        <v>1619.2</v>
      </c>
      <c r="C13" s="3">
        <v>1672.4</v>
      </c>
      <c r="D13" s="3">
        <v>1831.3</v>
      </c>
      <c r="E13" s="3">
        <v>2011.1</v>
      </c>
      <c r="F13" s="3">
        <v>2158.1999999999998</v>
      </c>
      <c r="G13" s="3">
        <v>2233.9</v>
      </c>
      <c r="H13" s="3">
        <v>2180</v>
      </c>
      <c r="I13" s="3">
        <v>2108.1</v>
      </c>
      <c r="J13" s="3">
        <v>1944.4</v>
      </c>
      <c r="K13" s="3">
        <v>1811.5</v>
      </c>
      <c r="L13" s="3">
        <v>1752.8</v>
      </c>
      <c r="M13" s="3">
        <v>1939.4</v>
      </c>
      <c r="N13" s="3">
        <v>2105.1</v>
      </c>
      <c r="O13" s="3">
        <v>2401.1</v>
      </c>
      <c r="P13" s="3">
        <v>2639.6</v>
      </c>
      <c r="Q13" s="3">
        <v>2745.8</v>
      </c>
      <c r="R13" s="3">
        <v>2758.2</v>
      </c>
      <c r="S13" s="3">
        <v>2781</v>
      </c>
      <c r="T13" s="3">
        <v>2854.1</v>
      </c>
      <c r="U13" s="3">
        <v>3007.7</v>
      </c>
      <c r="V13" s="3">
        <v>3218.7</v>
      </c>
      <c r="W13" s="3">
        <v>3258.5</v>
      </c>
      <c r="X13" s="3">
        <v>3348.2</v>
      </c>
      <c r="Y13" s="3">
        <v>3504.2</v>
      </c>
      <c r="Z13" s="3">
        <v>3724.5</v>
      </c>
      <c r="AA13" s="3">
        <v>3838.5</v>
      </c>
      <c r="AB13" s="3">
        <v>3915.2</v>
      </c>
      <c r="AC13" s="3">
        <v>3975.2</v>
      </c>
      <c r="AD13" s="3">
        <v>4100.6000000000004</v>
      </c>
      <c r="AE13" s="3">
        <v>4182.5</v>
      </c>
      <c r="AF13" s="3">
        <v>4075.8</v>
      </c>
      <c r="AG13" s="3">
        <v>3964.1</v>
      </c>
      <c r="AH13" s="3">
        <v>3631.3</v>
      </c>
      <c r="AI13" s="3">
        <v>3500.2</v>
      </c>
      <c r="AJ13" s="3">
        <v>3505.1</v>
      </c>
      <c r="AK13" s="3">
        <v>3693.7</v>
      </c>
      <c r="AL13" s="3">
        <v>3710.3</v>
      </c>
      <c r="AM13" s="3">
        <v>3848.3</v>
      </c>
      <c r="AN13" s="3">
        <v>4083.5</v>
      </c>
      <c r="AO13" s="3">
        <v>4340.7</v>
      </c>
      <c r="AP13" s="3">
        <v>4579.5</v>
      </c>
      <c r="AQ13" s="3">
        <v>4650.6000000000004</v>
      </c>
      <c r="AR13" s="3">
        <v>4852.8999999999996</v>
      </c>
      <c r="AS13" s="3">
        <v>4743.6000000000004</v>
      </c>
      <c r="AT13" s="3">
        <v>4612</v>
      </c>
      <c r="AU13" s="3">
        <v>4748.3</v>
      </c>
      <c r="AV13" s="3">
        <v>4838.8</v>
      </c>
      <c r="AW13" s="3">
        <v>4820.7</v>
      </c>
      <c r="AX13" s="3">
        <v>4913.7</v>
      </c>
      <c r="AY13" s="3">
        <v>4994.8999999999996</v>
      </c>
      <c r="AZ13" s="3">
        <v>5066.6000000000004</v>
      </c>
      <c r="BA13" s="3">
        <v>5313.5</v>
      </c>
      <c r="BB13" s="3">
        <v>5571.7</v>
      </c>
      <c r="BC13" s="3">
        <v>5650.6</v>
      </c>
      <c r="BD13" s="3">
        <v>5753</v>
      </c>
      <c r="BE13" s="3">
        <v>5840.2</v>
      </c>
      <c r="BF13" s="3">
        <v>6163.8</v>
      </c>
      <c r="BG13" s="3">
        <v>6325.2</v>
      </c>
      <c r="BH13" s="3">
        <v>6492.9</v>
      </c>
      <c r="BI13" s="3">
        <v>6624.1</v>
      </c>
      <c r="BJ13" s="3">
        <v>6766</v>
      </c>
      <c r="BK13" s="3">
        <v>7068.7</v>
      </c>
      <c r="BL13" s="3">
        <v>7363.6</v>
      </c>
      <c r="BM13" s="3">
        <v>7356.2</v>
      </c>
      <c r="BN13" s="3">
        <v>7344.6</v>
      </c>
      <c r="BO13" s="3">
        <v>7430.6</v>
      </c>
      <c r="BP13" s="3">
        <v>7532.3</v>
      </c>
      <c r="BQ13" s="3">
        <v>7534.3</v>
      </c>
      <c r="BR13" s="3">
        <v>7965.2</v>
      </c>
      <c r="BS13" s="3">
        <v>7987.4</v>
      </c>
      <c r="BT13" s="3">
        <v>8142.9</v>
      </c>
      <c r="BU13" s="3">
        <v>8307.7999999999993</v>
      </c>
      <c r="BV13" s="3">
        <v>7732.4</v>
      </c>
      <c r="BW13" s="3">
        <v>7562</v>
      </c>
      <c r="BX13" s="3">
        <v>7507.2</v>
      </c>
      <c r="BY13" s="3">
        <v>6733.9</v>
      </c>
      <c r="BZ13" s="3">
        <v>6622.3</v>
      </c>
      <c r="CA13" s="3">
        <v>6657.6</v>
      </c>
      <c r="CB13" s="3">
        <v>6836.9</v>
      </c>
      <c r="CC13" s="3">
        <v>6725.7</v>
      </c>
      <c r="CD13" s="3">
        <v>7243.1</v>
      </c>
      <c r="CE13" s="3">
        <v>7707.8</v>
      </c>
      <c r="CF13" s="3">
        <v>7633.3</v>
      </c>
      <c r="CG13" s="3">
        <v>7560.2</v>
      </c>
      <c r="CH13" s="3">
        <v>7273.7</v>
      </c>
      <c r="CI13" s="3">
        <v>7876.6</v>
      </c>
      <c r="CJ13" s="3">
        <v>8077.8</v>
      </c>
      <c r="CK13" s="3">
        <v>8042.2</v>
      </c>
      <c r="CL13" s="3">
        <v>8048.4</v>
      </c>
      <c r="CM13" s="3">
        <v>9077.6</v>
      </c>
      <c r="CN13" s="3">
        <v>8059.2</v>
      </c>
      <c r="CO13" s="3">
        <v>8621.6</v>
      </c>
      <c r="CP13" s="3">
        <v>8321.6</v>
      </c>
      <c r="CQ13" s="3">
        <v>7693.9</v>
      </c>
      <c r="CR13" s="3">
        <v>8365</v>
      </c>
      <c r="CS13" s="3">
        <v>8887.1</v>
      </c>
      <c r="CT13" s="3">
        <v>8883.2999999999993</v>
      </c>
      <c r="CU13" s="3">
        <v>8703.4</v>
      </c>
      <c r="CV13" s="3">
        <v>9027.2999999999993</v>
      </c>
      <c r="CW13" s="3">
        <v>8895.5</v>
      </c>
      <c r="CX13" s="3">
        <v>9178.9</v>
      </c>
      <c r="CY13" s="3">
        <v>9551.2999999999993</v>
      </c>
      <c r="CZ13" s="3">
        <v>9806.2000000000007</v>
      </c>
      <c r="DA13" s="3">
        <v>9836.1</v>
      </c>
      <c r="DB13" s="3">
        <v>9509.2999999999993</v>
      </c>
      <c r="DC13" s="3">
        <v>9810</v>
      </c>
      <c r="DD13" s="3">
        <v>9560.7000000000007</v>
      </c>
      <c r="DE13" s="3">
        <v>9519</v>
      </c>
      <c r="DF13" s="3">
        <v>10054.5</v>
      </c>
      <c r="DG13" s="3">
        <v>9246.2000000000007</v>
      </c>
      <c r="DH13" s="3">
        <v>9806.4</v>
      </c>
      <c r="DI13" s="3">
        <v>9414.6</v>
      </c>
      <c r="DJ13" s="3">
        <v>9350.7999999999993</v>
      </c>
      <c r="DK13" s="3">
        <v>9280.7999999999993</v>
      </c>
      <c r="DL13" s="3">
        <v>9574.4</v>
      </c>
      <c r="DM13" s="3">
        <v>9832.5</v>
      </c>
      <c r="DN13" s="3">
        <v>9468.7999999999993</v>
      </c>
      <c r="DO13" s="3">
        <v>9641.9</v>
      </c>
      <c r="DP13" s="3">
        <v>9284.4</v>
      </c>
      <c r="DQ13" s="3">
        <v>9321.2000000000007</v>
      </c>
      <c r="DR13" s="3">
        <v>9489.4</v>
      </c>
      <c r="DS13" s="3">
        <v>8725.5</v>
      </c>
      <c r="DT13" s="3">
        <v>8647</v>
      </c>
      <c r="DU13" s="3">
        <v>8582.7999999999993</v>
      </c>
      <c r="DV13" s="3">
        <v>8392.2999999999993</v>
      </c>
      <c r="DW13" s="3">
        <v>7692.4</v>
      </c>
      <c r="DX13" s="3">
        <v>7350.5</v>
      </c>
      <c r="DY13" s="3">
        <v>7253.1</v>
      </c>
      <c r="DZ13" s="3">
        <v>6877.1</v>
      </c>
      <c r="EA13" s="3">
        <v>6728.9</v>
      </c>
      <c r="EB13" s="3">
        <v>6641.4</v>
      </c>
      <c r="EC13" s="3">
        <v>6593.6</v>
      </c>
      <c r="ED13" s="3">
        <v>6704.4</v>
      </c>
      <c r="EE13" s="3">
        <v>6828.2</v>
      </c>
      <c r="EF13" s="3">
        <v>6725.8</v>
      </c>
      <c r="EG13" s="3">
        <v>6616.9</v>
      </c>
      <c r="EH13" s="3">
        <v>6791.6</v>
      </c>
      <c r="EI13" s="3">
        <v>6759.5</v>
      </c>
      <c r="EJ13" s="3">
        <v>6999.1</v>
      </c>
      <c r="EK13" s="3">
        <v>6607.7</v>
      </c>
      <c r="EL13" s="3">
        <v>6631.4</v>
      </c>
      <c r="EM13" s="3">
        <v>6514.6</v>
      </c>
    </row>
    <row r="14" spans="1:143" ht="20.100000000000001" customHeight="1" x14ac:dyDescent="0.3">
      <c r="A14" s="4" t="s">
        <v>155</v>
      </c>
      <c r="B14" s="3">
        <v>1039.2</v>
      </c>
      <c r="C14" s="3">
        <v>1191.4000000000001</v>
      </c>
      <c r="D14" s="3">
        <v>1217.0999999999999</v>
      </c>
      <c r="E14" s="3">
        <v>1206.3</v>
      </c>
      <c r="F14" s="3">
        <v>1223.5</v>
      </c>
      <c r="G14" s="3">
        <v>1206.4000000000001</v>
      </c>
      <c r="H14" s="3">
        <v>1274.5999999999999</v>
      </c>
      <c r="I14" s="3">
        <v>1286.4000000000001</v>
      </c>
      <c r="J14" s="3">
        <v>1290.3</v>
      </c>
      <c r="K14" s="3">
        <v>1322.6</v>
      </c>
      <c r="L14" s="3">
        <v>1355.5</v>
      </c>
      <c r="M14" s="3">
        <v>1399.6</v>
      </c>
      <c r="N14" s="3">
        <v>1519.3</v>
      </c>
      <c r="O14" s="3">
        <v>1540.9</v>
      </c>
      <c r="P14" s="3">
        <v>1538.1</v>
      </c>
      <c r="Q14" s="3">
        <v>1540</v>
      </c>
      <c r="R14" s="3">
        <v>1713.2</v>
      </c>
      <c r="S14" s="3">
        <v>1848.5</v>
      </c>
      <c r="T14" s="3">
        <v>1892.6</v>
      </c>
      <c r="U14" s="3">
        <v>2037.8</v>
      </c>
      <c r="V14" s="3">
        <v>2194.3000000000002</v>
      </c>
      <c r="W14" s="3">
        <v>2425</v>
      </c>
      <c r="X14" s="3">
        <v>2574.1999999999998</v>
      </c>
      <c r="Y14" s="3">
        <v>2645.7</v>
      </c>
      <c r="Z14" s="3">
        <v>2548.6</v>
      </c>
      <c r="AA14" s="3">
        <v>2594.5</v>
      </c>
      <c r="AB14" s="3">
        <v>2628.3</v>
      </c>
      <c r="AC14" s="3">
        <v>2775.1</v>
      </c>
      <c r="AD14" s="3">
        <v>2508.9</v>
      </c>
      <c r="AE14" s="3">
        <v>2784.1</v>
      </c>
      <c r="AF14" s="3">
        <v>2838.2</v>
      </c>
      <c r="AG14" s="3">
        <v>2763.9</v>
      </c>
      <c r="AH14" s="3">
        <v>3214</v>
      </c>
      <c r="AI14" s="3">
        <v>3207.9</v>
      </c>
      <c r="AJ14" s="3">
        <v>3538.7</v>
      </c>
      <c r="AK14" s="3">
        <v>3842.3</v>
      </c>
      <c r="AL14" s="3">
        <v>3849.5</v>
      </c>
      <c r="AM14" s="3">
        <v>4310.7</v>
      </c>
      <c r="AN14" s="3">
        <v>4604</v>
      </c>
      <c r="AO14" s="3">
        <v>4901.6000000000004</v>
      </c>
      <c r="AP14" s="3">
        <v>5389.9</v>
      </c>
      <c r="AQ14" s="3">
        <v>5841.9</v>
      </c>
      <c r="AR14" s="3">
        <v>6297.7</v>
      </c>
      <c r="AS14" s="3">
        <v>6055.3</v>
      </c>
      <c r="AT14" s="3">
        <v>6440.3</v>
      </c>
      <c r="AU14" s="3">
        <v>6065.1</v>
      </c>
      <c r="AV14" s="3">
        <v>5906</v>
      </c>
      <c r="AW14" s="3">
        <v>6792.1</v>
      </c>
      <c r="AX14" s="3">
        <v>6772</v>
      </c>
      <c r="AY14" s="3">
        <v>7194.2</v>
      </c>
      <c r="AZ14" s="3">
        <v>7354.9</v>
      </c>
      <c r="BA14" s="3">
        <v>7450.9</v>
      </c>
      <c r="BB14" s="3">
        <v>7554</v>
      </c>
      <c r="BC14" s="3">
        <v>7643.4</v>
      </c>
      <c r="BD14" s="3">
        <v>8443</v>
      </c>
      <c r="BE14" s="3">
        <v>8946.2999999999993</v>
      </c>
      <c r="BF14" s="3">
        <v>9565.2000000000007</v>
      </c>
      <c r="BG14" s="3">
        <v>9965.7999999999993</v>
      </c>
      <c r="BH14" s="3">
        <v>9914</v>
      </c>
      <c r="BI14" s="3">
        <v>10022.6</v>
      </c>
      <c r="BJ14" s="3">
        <v>10285.299999999999</v>
      </c>
      <c r="BK14" s="3">
        <v>10655</v>
      </c>
      <c r="BL14" s="3">
        <v>11169.9</v>
      </c>
      <c r="BM14" s="3">
        <v>11494.3</v>
      </c>
      <c r="BN14" s="3">
        <v>12100.8</v>
      </c>
      <c r="BO14" s="3">
        <v>12432</v>
      </c>
      <c r="BP14" s="3">
        <v>13006.1</v>
      </c>
      <c r="BQ14" s="3">
        <v>12843.5</v>
      </c>
      <c r="BR14" s="3">
        <v>13559.4</v>
      </c>
      <c r="BS14" s="3">
        <v>14205</v>
      </c>
      <c r="BT14" s="3">
        <v>14861.8</v>
      </c>
      <c r="BU14" s="3">
        <v>15196.3</v>
      </c>
      <c r="BV14" s="3">
        <v>15363.2</v>
      </c>
      <c r="BW14" s="3">
        <v>15691.7</v>
      </c>
      <c r="BX14" s="3">
        <v>16271</v>
      </c>
      <c r="BY14" s="3">
        <v>15011</v>
      </c>
      <c r="BZ14" s="3">
        <v>15600.6</v>
      </c>
      <c r="CA14" s="3">
        <v>15825.3</v>
      </c>
      <c r="CB14" s="3">
        <v>17088.7</v>
      </c>
      <c r="CC14" s="3">
        <v>17685.2</v>
      </c>
      <c r="CD14" s="3">
        <v>18640.599999999999</v>
      </c>
      <c r="CE14" s="3">
        <v>19495.7</v>
      </c>
      <c r="CF14" s="3">
        <v>20231.8</v>
      </c>
      <c r="CG14" s="3">
        <v>20302</v>
      </c>
      <c r="CH14" s="3">
        <v>21217.4</v>
      </c>
      <c r="CI14" s="3">
        <v>21273.5</v>
      </c>
      <c r="CJ14" s="3">
        <v>21564.9</v>
      </c>
      <c r="CK14" s="3">
        <v>21639.7</v>
      </c>
      <c r="CL14" s="3">
        <v>21363.599999999999</v>
      </c>
      <c r="CM14" s="3">
        <v>21977.7</v>
      </c>
      <c r="CN14" s="3">
        <v>22730.799999999999</v>
      </c>
      <c r="CO14" s="3">
        <v>23345.3</v>
      </c>
      <c r="CP14" s="3">
        <v>23138</v>
      </c>
      <c r="CQ14" s="3">
        <v>23969.7</v>
      </c>
      <c r="CR14" s="3">
        <v>23665.8</v>
      </c>
      <c r="CS14" s="3">
        <v>24467.9</v>
      </c>
      <c r="CT14" s="3">
        <v>25171</v>
      </c>
      <c r="CU14" s="3">
        <v>25749</v>
      </c>
      <c r="CV14" s="3">
        <v>24192.1</v>
      </c>
      <c r="CW14" s="3">
        <v>25032.5</v>
      </c>
      <c r="CX14" s="3">
        <v>26007.4</v>
      </c>
      <c r="CY14" s="3">
        <v>25341.5</v>
      </c>
      <c r="CZ14" s="3">
        <v>25595.5</v>
      </c>
      <c r="DA14" s="3">
        <v>26818.6</v>
      </c>
      <c r="DB14" s="3">
        <v>28024.1</v>
      </c>
      <c r="DC14" s="3">
        <v>28370.6</v>
      </c>
      <c r="DD14" s="3">
        <v>27868.6</v>
      </c>
      <c r="DE14" s="3">
        <v>29008.1</v>
      </c>
      <c r="DF14" s="3">
        <v>29264.1</v>
      </c>
      <c r="DG14" s="3">
        <v>29917.1</v>
      </c>
      <c r="DH14" s="3">
        <v>30464.7</v>
      </c>
      <c r="DI14" s="3">
        <v>31356.799999999999</v>
      </c>
      <c r="DJ14" s="3">
        <v>32610.3</v>
      </c>
      <c r="DK14" s="3">
        <v>33795.300000000003</v>
      </c>
      <c r="DL14" s="3">
        <v>35350.800000000003</v>
      </c>
      <c r="DM14" s="3">
        <v>33899.4</v>
      </c>
      <c r="DN14" s="3">
        <v>33714.400000000001</v>
      </c>
      <c r="DO14" s="3">
        <v>35248.199999999997</v>
      </c>
      <c r="DP14" s="3">
        <v>37076.699999999997</v>
      </c>
      <c r="DQ14" s="3">
        <v>36196.300000000003</v>
      </c>
      <c r="DR14" s="3">
        <v>37638.9</v>
      </c>
      <c r="DS14" s="3">
        <v>35487.699999999997</v>
      </c>
      <c r="DT14" s="3">
        <v>37265.199999999997</v>
      </c>
      <c r="DU14" s="3">
        <v>39616.1</v>
      </c>
      <c r="DV14" s="3">
        <v>41035.4</v>
      </c>
      <c r="DW14" s="3">
        <v>42743.7</v>
      </c>
      <c r="DX14" s="3">
        <v>41829.1</v>
      </c>
      <c r="DY14" s="3">
        <v>43665.1</v>
      </c>
      <c r="DZ14" s="3">
        <v>45512.6</v>
      </c>
      <c r="EA14" s="3">
        <v>46052.1</v>
      </c>
      <c r="EB14" s="3">
        <v>45295</v>
      </c>
      <c r="EC14" s="3">
        <v>43235.7</v>
      </c>
      <c r="ED14" s="3">
        <v>42929.8</v>
      </c>
      <c r="EE14" s="3">
        <v>45619.4</v>
      </c>
      <c r="EF14" s="3">
        <v>48954</v>
      </c>
      <c r="EG14" s="3">
        <v>50663.4</v>
      </c>
      <c r="EH14" s="3">
        <v>51483.8</v>
      </c>
      <c r="EI14" s="3">
        <v>51569.4</v>
      </c>
      <c r="EJ14" s="3">
        <v>51772.9</v>
      </c>
      <c r="EK14" s="3">
        <v>53246</v>
      </c>
      <c r="EL14" s="3">
        <v>54088.3</v>
      </c>
      <c r="EM14" s="3">
        <v>56831.6</v>
      </c>
    </row>
    <row r="15" spans="1:143" ht="20.100000000000001" customHeight="1" x14ac:dyDescent="0.3">
      <c r="A15" s="4" t="s">
        <v>156</v>
      </c>
      <c r="B15" s="3">
        <v>785.7</v>
      </c>
      <c r="C15" s="3">
        <v>895.8</v>
      </c>
      <c r="D15" s="3">
        <v>916.1</v>
      </c>
      <c r="E15" s="3">
        <v>902.7</v>
      </c>
      <c r="F15" s="3">
        <v>914.6</v>
      </c>
      <c r="G15" s="3">
        <v>887.8</v>
      </c>
      <c r="H15" s="3">
        <v>943.4</v>
      </c>
      <c r="I15" s="3">
        <v>949.3</v>
      </c>
      <c r="J15" s="3">
        <v>958.7</v>
      </c>
      <c r="K15" s="3">
        <v>969.8</v>
      </c>
      <c r="L15" s="3">
        <v>1005.5</v>
      </c>
      <c r="M15" s="3">
        <v>1040.2</v>
      </c>
      <c r="N15" s="3">
        <v>1120.7</v>
      </c>
      <c r="O15" s="3">
        <v>1122.5999999999999</v>
      </c>
      <c r="P15" s="3">
        <v>1134.4000000000001</v>
      </c>
      <c r="Q15" s="3">
        <v>1146.5</v>
      </c>
      <c r="R15" s="3">
        <v>1230</v>
      </c>
      <c r="S15" s="3">
        <v>1320</v>
      </c>
      <c r="T15" s="3">
        <v>1384.4</v>
      </c>
      <c r="U15" s="3">
        <v>1523.9</v>
      </c>
      <c r="V15" s="3">
        <v>1512.2</v>
      </c>
      <c r="W15" s="3">
        <v>1592.6</v>
      </c>
      <c r="X15" s="3">
        <v>1604.4</v>
      </c>
      <c r="Y15" s="3">
        <v>1682.2</v>
      </c>
      <c r="Z15" s="3">
        <v>1750.9</v>
      </c>
      <c r="AA15" s="3">
        <v>1953.9</v>
      </c>
      <c r="AB15" s="3">
        <v>1920.3</v>
      </c>
      <c r="AC15" s="3">
        <v>1958.7</v>
      </c>
      <c r="AD15" s="3">
        <v>2039.7</v>
      </c>
      <c r="AE15" s="3">
        <v>2078.4</v>
      </c>
      <c r="AF15" s="3">
        <v>2129.8000000000002</v>
      </c>
      <c r="AG15" s="3">
        <v>2039.1</v>
      </c>
      <c r="AH15" s="3">
        <v>1945.9</v>
      </c>
      <c r="AI15" s="3">
        <v>1872.9</v>
      </c>
      <c r="AJ15" s="3">
        <v>1866</v>
      </c>
      <c r="AK15" s="3">
        <v>1983</v>
      </c>
      <c r="AL15" s="3">
        <v>2195.8000000000002</v>
      </c>
      <c r="AM15" s="3">
        <v>2571.4</v>
      </c>
      <c r="AN15" s="3">
        <v>2693.1</v>
      </c>
      <c r="AO15" s="3">
        <v>2895.7</v>
      </c>
      <c r="AP15" s="3">
        <v>3233.5</v>
      </c>
      <c r="AQ15" s="3">
        <v>3301.8</v>
      </c>
      <c r="AR15" s="3">
        <v>3530.5</v>
      </c>
      <c r="AS15" s="3">
        <v>3394.2</v>
      </c>
      <c r="AT15" s="3">
        <v>3322.1</v>
      </c>
      <c r="AU15" s="3">
        <v>3304.7</v>
      </c>
      <c r="AV15" s="3">
        <v>3429.4</v>
      </c>
      <c r="AW15" s="3">
        <v>3498.3</v>
      </c>
      <c r="AX15" s="3">
        <v>3508.4</v>
      </c>
      <c r="AY15" s="3">
        <v>3762.2</v>
      </c>
      <c r="AZ15" s="3">
        <v>3820.3</v>
      </c>
      <c r="BA15" s="3">
        <v>3927.1</v>
      </c>
      <c r="BB15" s="3">
        <v>3965.9</v>
      </c>
      <c r="BC15" s="3">
        <v>3942.8</v>
      </c>
      <c r="BD15" s="3">
        <v>4022.1</v>
      </c>
      <c r="BE15" s="3">
        <v>4141.8</v>
      </c>
      <c r="BF15" s="3">
        <v>4171</v>
      </c>
      <c r="BG15" s="3">
        <v>4307</v>
      </c>
      <c r="BH15" s="3">
        <v>4285.8999999999996</v>
      </c>
      <c r="BI15" s="3">
        <v>4335</v>
      </c>
      <c r="BJ15" s="3">
        <v>4382.3999999999996</v>
      </c>
      <c r="BK15" s="3">
        <v>4463.7</v>
      </c>
      <c r="BL15" s="3">
        <v>4708.8999999999996</v>
      </c>
      <c r="BM15" s="3">
        <v>4742.3999999999996</v>
      </c>
      <c r="BN15" s="3">
        <v>4777.8999999999996</v>
      </c>
      <c r="BO15" s="3">
        <v>4784.8</v>
      </c>
      <c r="BP15" s="3">
        <v>4959.7</v>
      </c>
      <c r="BQ15" s="3">
        <v>5006.3999999999996</v>
      </c>
      <c r="BR15" s="3">
        <v>5240.6000000000004</v>
      </c>
      <c r="BS15" s="3">
        <v>5111.6000000000004</v>
      </c>
      <c r="BT15" s="3">
        <v>5164.7</v>
      </c>
      <c r="BU15" s="3">
        <v>5302</v>
      </c>
      <c r="BV15" s="3">
        <v>5342.6</v>
      </c>
      <c r="BW15" s="3">
        <v>5362.6</v>
      </c>
      <c r="BX15" s="3">
        <v>5438.3</v>
      </c>
      <c r="BY15" s="3">
        <v>5040.3999999999996</v>
      </c>
      <c r="BZ15" s="3">
        <v>4961.6000000000004</v>
      </c>
      <c r="CA15" s="3">
        <v>5442.9</v>
      </c>
      <c r="CB15" s="3">
        <v>5873.7</v>
      </c>
      <c r="CC15" s="3">
        <v>5921.3</v>
      </c>
      <c r="CD15" s="3">
        <v>6395.2</v>
      </c>
      <c r="CE15" s="3">
        <v>6609.4</v>
      </c>
      <c r="CF15" s="3">
        <v>6580</v>
      </c>
      <c r="CG15" s="3">
        <v>6882.2</v>
      </c>
      <c r="CH15" s="3">
        <v>6752.9</v>
      </c>
      <c r="CI15" s="3">
        <v>6666.5</v>
      </c>
      <c r="CJ15" s="3">
        <v>6493.2</v>
      </c>
      <c r="CK15" s="3">
        <v>6795.8</v>
      </c>
      <c r="CL15" s="3">
        <v>6765.6</v>
      </c>
      <c r="CM15" s="3">
        <v>6750.6</v>
      </c>
      <c r="CN15" s="3">
        <v>6900.2</v>
      </c>
      <c r="CO15" s="3">
        <v>7066.3</v>
      </c>
      <c r="CP15" s="3">
        <v>7034.7</v>
      </c>
      <c r="CQ15" s="3">
        <v>7226.7</v>
      </c>
      <c r="CR15" s="3">
        <v>7361.9</v>
      </c>
      <c r="CS15" s="3">
        <v>7007.6</v>
      </c>
      <c r="CT15" s="3">
        <v>7261.7</v>
      </c>
      <c r="CU15" s="3">
        <v>7533.2</v>
      </c>
      <c r="CV15" s="3">
        <v>7434.3</v>
      </c>
      <c r="CW15" s="3">
        <v>7331.7</v>
      </c>
      <c r="CX15" s="3">
        <v>7301.1</v>
      </c>
      <c r="CY15" s="3">
        <v>7317.3</v>
      </c>
      <c r="CZ15" s="3">
        <v>7135</v>
      </c>
      <c r="DA15" s="3">
        <v>6629.3</v>
      </c>
      <c r="DB15" s="3">
        <v>6644.5</v>
      </c>
      <c r="DC15" s="3">
        <v>6572.8</v>
      </c>
      <c r="DD15" s="3">
        <v>6739.4</v>
      </c>
      <c r="DE15" s="3">
        <v>6765.3</v>
      </c>
      <c r="DF15" s="3">
        <v>7320.1</v>
      </c>
      <c r="DG15" s="3">
        <v>7310.8</v>
      </c>
      <c r="DH15" s="3">
        <v>7690.1</v>
      </c>
      <c r="DI15" s="3">
        <v>7460.4</v>
      </c>
      <c r="DJ15" s="3">
        <v>7742.8</v>
      </c>
      <c r="DK15" s="3">
        <v>7743.4</v>
      </c>
      <c r="DL15" s="3">
        <v>7845.2</v>
      </c>
      <c r="DM15" s="3">
        <v>8239.1</v>
      </c>
      <c r="DN15" s="3">
        <v>7852</v>
      </c>
      <c r="DO15" s="3">
        <v>8150.7</v>
      </c>
      <c r="DP15" s="3">
        <v>7909</v>
      </c>
      <c r="DQ15" s="3">
        <v>8058.7</v>
      </c>
      <c r="DR15" s="3">
        <v>7777.7</v>
      </c>
      <c r="DS15" s="3">
        <v>7555.8</v>
      </c>
      <c r="DT15" s="3">
        <v>7970.5</v>
      </c>
      <c r="DU15" s="3">
        <v>8570.5</v>
      </c>
      <c r="DV15" s="3">
        <v>8819.7000000000007</v>
      </c>
      <c r="DW15" s="3">
        <v>8808.2000000000007</v>
      </c>
      <c r="DX15" s="3">
        <v>8557.5</v>
      </c>
      <c r="DY15" s="3">
        <v>8934.7999999999993</v>
      </c>
      <c r="DZ15" s="3">
        <v>9456.7999999999993</v>
      </c>
      <c r="EA15" s="3">
        <v>9482.1</v>
      </c>
      <c r="EB15" s="3">
        <v>9167.7999999999993</v>
      </c>
      <c r="EC15" s="3">
        <v>8857</v>
      </c>
      <c r="ED15" s="3">
        <v>8842.2000000000007</v>
      </c>
      <c r="EE15" s="3">
        <v>8948.2000000000007</v>
      </c>
      <c r="EF15" s="3">
        <v>9348.9</v>
      </c>
      <c r="EG15" s="3">
        <v>8913.5</v>
      </c>
      <c r="EH15" s="3">
        <v>8686.4</v>
      </c>
      <c r="EI15" s="3">
        <v>8622.5</v>
      </c>
      <c r="EJ15" s="3">
        <v>8858.9</v>
      </c>
      <c r="EK15" s="3">
        <v>8455.4</v>
      </c>
      <c r="EL15" s="3">
        <v>8297.6</v>
      </c>
      <c r="EM15" s="3">
        <v>8522.7000000000007</v>
      </c>
    </row>
    <row r="16" spans="1:143" ht="20.100000000000001" customHeight="1" x14ac:dyDescent="0.3">
      <c r="A16" s="4" t="s">
        <v>157</v>
      </c>
      <c r="B16" s="3">
        <v>1483.9</v>
      </c>
      <c r="C16" s="3">
        <v>1478</v>
      </c>
      <c r="D16" s="3">
        <v>1511.8</v>
      </c>
      <c r="E16" s="3">
        <v>1541.2</v>
      </c>
      <c r="F16" s="3">
        <v>1686.4</v>
      </c>
      <c r="G16" s="3">
        <v>1778.4</v>
      </c>
      <c r="H16" s="3">
        <v>1774.7</v>
      </c>
      <c r="I16" s="3">
        <v>2095.6</v>
      </c>
      <c r="J16" s="3">
        <v>1860.9</v>
      </c>
      <c r="K16" s="3">
        <v>1858.7</v>
      </c>
      <c r="L16" s="3">
        <v>1894.9</v>
      </c>
      <c r="M16" s="3">
        <v>1818.1</v>
      </c>
      <c r="N16" s="3">
        <v>1936.7</v>
      </c>
      <c r="O16" s="3">
        <v>2009.7</v>
      </c>
      <c r="P16" s="3">
        <v>2005.9</v>
      </c>
      <c r="Q16" s="3">
        <v>2217.3000000000002</v>
      </c>
      <c r="R16" s="3">
        <v>2340.9</v>
      </c>
      <c r="S16" s="3">
        <v>2471.3000000000002</v>
      </c>
      <c r="T16" s="3">
        <v>2578.6</v>
      </c>
      <c r="U16" s="3">
        <v>2953.5</v>
      </c>
      <c r="V16" s="3">
        <v>3214.2</v>
      </c>
      <c r="W16" s="3">
        <v>3505.3</v>
      </c>
      <c r="X16" s="3">
        <v>3544</v>
      </c>
      <c r="Y16" s="3">
        <v>3635.6</v>
      </c>
      <c r="Z16" s="3">
        <v>3878.1</v>
      </c>
      <c r="AA16" s="3">
        <v>3833.9</v>
      </c>
      <c r="AB16" s="3">
        <v>4147.8999999999996</v>
      </c>
      <c r="AC16" s="3">
        <v>4213</v>
      </c>
      <c r="AD16" s="3">
        <v>4142.3</v>
      </c>
      <c r="AE16" s="3">
        <v>4347.8</v>
      </c>
      <c r="AF16" s="3">
        <v>4170.8</v>
      </c>
      <c r="AG16" s="3">
        <v>3758.2</v>
      </c>
      <c r="AH16" s="3">
        <v>2838.9</v>
      </c>
      <c r="AI16" s="3">
        <v>2525.5</v>
      </c>
      <c r="AJ16" s="3">
        <v>2615</v>
      </c>
      <c r="AK16" s="3">
        <v>2706.9</v>
      </c>
      <c r="AL16" s="3">
        <v>2929.5</v>
      </c>
      <c r="AM16" s="3">
        <v>3423</v>
      </c>
      <c r="AN16" s="3">
        <v>3728.2</v>
      </c>
      <c r="AO16" s="3">
        <v>3982.7</v>
      </c>
      <c r="AP16" s="3">
        <v>4205.2</v>
      </c>
      <c r="AQ16" s="3">
        <v>4382.5</v>
      </c>
      <c r="AR16" s="3">
        <v>4560.1000000000004</v>
      </c>
      <c r="AS16" s="3">
        <v>4443.1000000000004</v>
      </c>
      <c r="AT16" s="3">
        <v>4448.1000000000004</v>
      </c>
      <c r="AU16" s="3">
        <v>4315.7</v>
      </c>
      <c r="AV16" s="3">
        <v>4307.8999999999996</v>
      </c>
      <c r="AW16" s="3">
        <v>4124.5</v>
      </c>
      <c r="AX16" s="3">
        <v>4610.7</v>
      </c>
      <c r="AY16" s="3">
        <v>4909.8</v>
      </c>
      <c r="AZ16" s="3">
        <v>5067.6000000000004</v>
      </c>
      <c r="BA16" s="3">
        <v>5166.2</v>
      </c>
      <c r="BB16" s="3">
        <v>5292.1</v>
      </c>
      <c r="BC16" s="3">
        <v>5318.8</v>
      </c>
      <c r="BD16" s="3">
        <v>5427.7</v>
      </c>
      <c r="BE16" s="3">
        <v>5654.6</v>
      </c>
      <c r="BF16" s="3">
        <v>5780.4</v>
      </c>
      <c r="BG16" s="3">
        <v>6110.5</v>
      </c>
      <c r="BH16" s="3">
        <v>6049.6</v>
      </c>
      <c r="BI16" s="3">
        <v>5994.9</v>
      </c>
      <c r="BJ16" s="3">
        <v>6145.6</v>
      </c>
      <c r="BK16" s="3">
        <v>6296.2</v>
      </c>
      <c r="BL16" s="3">
        <v>6499</v>
      </c>
      <c r="BM16" s="3">
        <v>6664.3</v>
      </c>
      <c r="BN16" s="3">
        <v>6739</v>
      </c>
      <c r="BO16" s="3">
        <v>6979.3</v>
      </c>
      <c r="BP16" s="3">
        <v>7218</v>
      </c>
      <c r="BQ16" s="3">
        <v>7242.6</v>
      </c>
      <c r="BR16" s="3">
        <v>7473.4</v>
      </c>
      <c r="BS16" s="3">
        <v>7637.5</v>
      </c>
      <c r="BT16" s="3">
        <v>7756.6</v>
      </c>
      <c r="BU16" s="3">
        <v>8054.4</v>
      </c>
      <c r="BV16" s="3">
        <v>8368.5</v>
      </c>
      <c r="BW16" s="3">
        <v>8421.1</v>
      </c>
      <c r="BX16" s="3">
        <v>8622.6</v>
      </c>
      <c r="BY16" s="3">
        <v>7749.4</v>
      </c>
      <c r="BZ16" s="3">
        <v>7147.7</v>
      </c>
      <c r="CA16" s="3">
        <v>7317.2</v>
      </c>
      <c r="CB16" s="3">
        <v>7925.1</v>
      </c>
      <c r="CC16" s="3">
        <v>8335</v>
      </c>
      <c r="CD16" s="3">
        <v>8538.5</v>
      </c>
      <c r="CE16" s="3">
        <v>9297.9</v>
      </c>
      <c r="CF16" s="3">
        <v>9586.4</v>
      </c>
      <c r="CG16" s="3">
        <v>9859.5</v>
      </c>
      <c r="CH16" s="3">
        <v>10022.799999999999</v>
      </c>
      <c r="CI16" s="3">
        <v>9820.9</v>
      </c>
      <c r="CJ16" s="3">
        <v>9789.2999999999993</v>
      </c>
      <c r="CK16" s="3">
        <v>10016.5</v>
      </c>
      <c r="CL16" s="3">
        <v>10397.200000000001</v>
      </c>
      <c r="CM16" s="3">
        <v>10305.200000000001</v>
      </c>
      <c r="CN16" s="3">
        <v>10359.6</v>
      </c>
      <c r="CO16" s="3">
        <v>9978.4</v>
      </c>
      <c r="CP16" s="3">
        <v>10089.5</v>
      </c>
      <c r="CQ16" s="3">
        <v>10614.2</v>
      </c>
      <c r="CR16" s="3">
        <v>10681.3</v>
      </c>
      <c r="CS16" s="3">
        <v>10683.3</v>
      </c>
      <c r="CT16" s="3">
        <v>10373.200000000001</v>
      </c>
      <c r="CU16" s="3">
        <v>10670.1</v>
      </c>
      <c r="CV16" s="3">
        <v>10884.5</v>
      </c>
      <c r="CW16" s="3">
        <v>11070.5</v>
      </c>
      <c r="CX16" s="3">
        <v>10882.6</v>
      </c>
      <c r="CY16" s="3">
        <v>10826.7</v>
      </c>
      <c r="CZ16" s="3">
        <v>10806.8</v>
      </c>
      <c r="DA16" s="3">
        <v>10658.1</v>
      </c>
      <c r="DB16" s="3">
        <v>9955.5</v>
      </c>
      <c r="DC16" s="3">
        <v>10140.4</v>
      </c>
      <c r="DD16" s="3">
        <v>10467.9</v>
      </c>
      <c r="DE16" s="3">
        <v>11153.8</v>
      </c>
      <c r="DF16" s="3">
        <v>12129.1</v>
      </c>
      <c r="DG16" s="3">
        <v>12887.7</v>
      </c>
      <c r="DH16" s="3">
        <v>12637.7</v>
      </c>
      <c r="DI16" s="3">
        <v>12328.5</v>
      </c>
      <c r="DJ16" s="3">
        <v>12701.9</v>
      </c>
      <c r="DK16" s="3">
        <v>12525.2</v>
      </c>
      <c r="DL16" s="3">
        <v>12534.6</v>
      </c>
      <c r="DM16" s="3">
        <v>12265.2</v>
      </c>
      <c r="DN16" s="3">
        <v>12544.7</v>
      </c>
      <c r="DO16" s="3">
        <v>12251.2</v>
      </c>
      <c r="DP16" s="3">
        <v>12075</v>
      </c>
      <c r="DQ16" s="3">
        <v>12631.6</v>
      </c>
      <c r="DR16" s="3">
        <v>12637.4</v>
      </c>
      <c r="DS16" s="3">
        <v>11782.6</v>
      </c>
      <c r="DT16" s="3">
        <v>12175.1</v>
      </c>
      <c r="DU16" s="3">
        <v>12699.9</v>
      </c>
      <c r="DV16" s="3">
        <v>13328.1</v>
      </c>
      <c r="DW16" s="3">
        <v>13952.7</v>
      </c>
      <c r="DX16" s="3">
        <v>13953.5</v>
      </c>
      <c r="DY16" s="3">
        <v>13975</v>
      </c>
      <c r="DZ16" s="3">
        <v>14421.8</v>
      </c>
      <c r="EA16" s="3">
        <v>14444.4</v>
      </c>
      <c r="EB16" s="3">
        <v>14976.9</v>
      </c>
      <c r="EC16" s="3">
        <v>14882.2</v>
      </c>
      <c r="ED16" s="3">
        <v>13893.3</v>
      </c>
      <c r="EE16" s="3">
        <v>13364.4</v>
      </c>
      <c r="EF16" s="3">
        <v>13538.1</v>
      </c>
      <c r="EG16" s="3">
        <v>13902.1</v>
      </c>
      <c r="EH16" s="3">
        <v>13830</v>
      </c>
      <c r="EI16" s="3">
        <v>13825.1</v>
      </c>
      <c r="EJ16" s="3">
        <v>14021.4</v>
      </c>
      <c r="EK16" s="3">
        <v>13779.2</v>
      </c>
      <c r="EL16" s="3">
        <v>13215.4</v>
      </c>
      <c r="EM16" s="3">
        <v>13576.3</v>
      </c>
    </row>
    <row r="17" spans="1:143" ht="20.100000000000001" customHeight="1" x14ac:dyDescent="0.3">
      <c r="A17" s="4" t="s">
        <v>158</v>
      </c>
      <c r="B17" s="3">
        <v>2875.2</v>
      </c>
      <c r="C17" s="3">
        <v>2580.4</v>
      </c>
      <c r="D17" s="3">
        <v>3115.5</v>
      </c>
      <c r="E17" s="3">
        <v>3231.6</v>
      </c>
      <c r="F17" s="3">
        <v>3224.5</v>
      </c>
      <c r="G17" s="3">
        <v>3251.5</v>
      </c>
      <c r="H17" s="3">
        <v>3399.6</v>
      </c>
      <c r="I17" s="3">
        <v>3850.1</v>
      </c>
      <c r="J17" s="3">
        <v>3729.5</v>
      </c>
      <c r="K17" s="3">
        <v>4059.3</v>
      </c>
      <c r="L17" s="3">
        <v>4048.2</v>
      </c>
      <c r="M17" s="3">
        <v>4046.2</v>
      </c>
      <c r="N17" s="3">
        <v>4325</v>
      </c>
      <c r="O17" s="3">
        <v>4362.6000000000004</v>
      </c>
      <c r="P17" s="3">
        <v>4458.8999999999996</v>
      </c>
      <c r="Q17" s="3">
        <v>4875.2</v>
      </c>
      <c r="R17" s="3">
        <v>5228.3999999999996</v>
      </c>
      <c r="S17" s="3">
        <v>5454.1</v>
      </c>
      <c r="T17" s="3">
        <v>5051.3999999999996</v>
      </c>
      <c r="U17" s="3">
        <v>5904.3</v>
      </c>
      <c r="V17" s="3">
        <v>5932.8</v>
      </c>
      <c r="W17" s="3">
        <v>5765.8</v>
      </c>
      <c r="X17" s="3">
        <v>6089.5</v>
      </c>
      <c r="Y17" s="3">
        <v>6241</v>
      </c>
      <c r="Z17" s="3">
        <v>7105.1</v>
      </c>
      <c r="AA17" s="3">
        <v>6805.9</v>
      </c>
      <c r="AB17" s="3">
        <v>7024.1</v>
      </c>
      <c r="AC17" s="3">
        <v>6967.4</v>
      </c>
      <c r="AD17" s="3">
        <v>6938.2</v>
      </c>
      <c r="AE17" s="3">
        <v>7564.3</v>
      </c>
      <c r="AF17" s="3">
        <v>7472.1</v>
      </c>
      <c r="AG17" s="3">
        <v>7649.9</v>
      </c>
      <c r="AH17" s="3">
        <v>5367.1</v>
      </c>
      <c r="AI17" s="3">
        <v>5476.3</v>
      </c>
      <c r="AJ17" s="3">
        <v>5254</v>
      </c>
      <c r="AK17" s="3">
        <v>5890.8</v>
      </c>
      <c r="AL17" s="3">
        <v>6340</v>
      </c>
      <c r="AM17" s="3">
        <v>7355.7</v>
      </c>
      <c r="AN17" s="3">
        <v>7548</v>
      </c>
      <c r="AO17" s="3">
        <v>7757.2</v>
      </c>
      <c r="AP17" s="3">
        <v>8328.1</v>
      </c>
      <c r="AQ17" s="3">
        <v>7885.7</v>
      </c>
      <c r="AR17" s="3">
        <v>9142.1</v>
      </c>
      <c r="AS17" s="3">
        <v>8517.7000000000007</v>
      </c>
      <c r="AT17" s="3">
        <v>8022.1</v>
      </c>
      <c r="AU17" s="3">
        <v>8690.1</v>
      </c>
      <c r="AV17" s="3">
        <v>9241.5</v>
      </c>
      <c r="AW17" s="3">
        <v>8400.9</v>
      </c>
      <c r="AX17" s="3">
        <v>8928.7999999999993</v>
      </c>
      <c r="AY17" s="3">
        <v>8980.7000000000007</v>
      </c>
      <c r="AZ17" s="3">
        <v>9699.9</v>
      </c>
      <c r="BA17" s="3">
        <v>9700.7000000000007</v>
      </c>
      <c r="BB17" s="3">
        <v>9753.6</v>
      </c>
      <c r="BC17" s="3">
        <v>9641.2999999999993</v>
      </c>
      <c r="BD17" s="3">
        <v>9152.9</v>
      </c>
      <c r="BE17" s="3">
        <v>10362.299999999999</v>
      </c>
      <c r="BF17" s="3">
        <v>10372.5</v>
      </c>
      <c r="BG17" s="3">
        <v>10472.4</v>
      </c>
      <c r="BH17" s="3">
        <v>10685.4</v>
      </c>
      <c r="BI17" s="3">
        <v>11120.2</v>
      </c>
      <c r="BJ17" s="3">
        <v>11280.2</v>
      </c>
      <c r="BK17" s="3">
        <v>11605.5</v>
      </c>
      <c r="BL17" s="3">
        <v>11254.8</v>
      </c>
      <c r="BM17" s="3">
        <v>11921.7</v>
      </c>
      <c r="BN17" s="3">
        <v>13448.1</v>
      </c>
      <c r="BO17" s="3">
        <v>13113.8</v>
      </c>
      <c r="BP17" s="3">
        <v>12881</v>
      </c>
      <c r="BQ17" s="3">
        <v>13544.7</v>
      </c>
      <c r="BR17" s="3">
        <v>14318.6</v>
      </c>
      <c r="BS17" s="3">
        <v>14526.2</v>
      </c>
      <c r="BT17" s="3">
        <v>14548.7</v>
      </c>
      <c r="BU17" s="3">
        <v>15419.7</v>
      </c>
      <c r="BV17" s="3">
        <v>16602.3</v>
      </c>
      <c r="BW17" s="3">
        <v>17037.8</v>
      </c>
      <c r="BX17" s="3">
        <v>16027.4</v>
      </c>
      <c r="BY17" s="3">
        <v>15122.2</v>
      </c>
      <c r="BZ17" s="3">
        <v>12889.3</v>
      </c>
      <c r="CA17" s="3">
        <v>13107.2</v>
      </c>
      <c r="CB17" s="3">
        <v>14865</v>
      </c>
      <c r="CC17" s="3">
        <v>14924.7</v>
      </c>
      <c r="CD17" s="3">
        <v>14517.9</v>
      </c>
      <c r="CE17" s="3">
        <v>15546.4</v>
      </c>
      <c r="CF17" s="3">
        <v>16517.099999999999</v>
      </c>
      <c r="CG17" s="3">
        <v>16635.8</v>
      </c>
      <c r="CH17" s="3">
        <v>17197.400000000001</v>
      </c>
      <c r="CI17" s="3">
        <v>16993.3</v>
      </c>
      <c r="CJ17" s="3">
        <v>17564.099999999999</v>
      </c>
      <c r="CK17" s="3">
        <v>17376.8</v>
      </c>
      <c r="CL17" s="3">
        <v>17665.5</v>
      </c>
      <c r="CM17" s="3">
        <v>17164.099999999999</v>
      </c>
      <c r="CN17" s="3">
        <v>16630.099999999999</v>
      </c>
      <c r="CO17" s="3">
        <v>17031.400000000001</v>
      </c>
      <c r="CP17" s="3">
        <v>17411.400000000001</v>
      </c>
      <c r="CQ17" s="3">
        <v>17208.8</v>
      </c>
      <c r="CR17" s="3">
        <v>17488.7</v>
      </c>
      <c r="CS17" s="3">
        <v>17219.5</v>
      </c>
      <c r="CT17" s="3">
        <v>17740.3</v>
      </c>
      <c r="CU17" s="3">
        <v>17944.400000000001</v>
      </c>
      <c r="CV17" s="3">
        <v>17202.3</v>
      </c>
      <c r="CW17" s="3">
        <v>16510.7</v>
      </c>
      <c r="CX17" s="3">
        <v>16388.099999999999</v>
      </c>
      <c r="CY17" s="3">
        <v>17144.099999999999</v>
      </c>
      <c r="CZ17" s="3">
        <v>17627.400000000001</v>
      </c>
      <c r="DA17" s="3">
        <v>17287.400000000001</v>
      </c>
      <c r="DB17" s="3">
        <v>17222.599999999999</v>
      </c>
      <c r="DC17" s="3">
        <v>17901.5</v>
      </c>
      <c r="DD17" s="3">
        <v>16936.2</v>
      </c>
      <c r="DE17" s="3">
        <v>17089.2</v>
      </c>
      <c r="DF17" s="3">
        <v>16784.099999999999</v>
      </c>
      <c r="DG17" s="3">
        <v>16340.2</v>
      </c>
      <c r="DH17" s="3">
        <v>16267.9</v>
      </c>
      <c r="DI17" s="3">
        <v>15105.1</v>
      </c>
      <c r="DJ17" s="3">
        <v>15331.1</v>
      </c>
      <c r="DK17" s="3">
        <v>16055.8</v>
      </c>
      <c r="DL17" s="3">
        <v>15690.5</v>
      </c>
      <c r="DM17" s="3">
        <v>16859.099999999999</v>
      </c>
      <c r="DN17" s="3">
        <v>15836.3</v>
      </c>
      <c r="DO17" s="3">
        <v>16392.2</v>
      </c>
      <c r="DP17" s="3">
        <v>15752.5</v>
      </c>
      <c r="DQ17" s="3">
        <v>16453.5</v>
      </c>
      <c r="DR17" s="3">
        <v>14998.7</v>
      </c>
      <c r="DS17" s="3">
        <v>12910.3</v>
      </c>
      <c r="DT17" s="3">
        <v>14445.5</v>
      </c>
      <c r="DU17" s="3">
        <v>15424.1</v>
      </c>
      <c r="DV17" s="3">
        <v>15767.7</v>
      </c>
      <c r="DW17" s="3">
        <v>15586</v>
      </c>
      <c r="DX17" s="3">
        <v>14768.8</v>
      </c>
      <c r="DY17" s="3">
        <v>15254</v>
      </c>
      <c r="DZ17" s="3">
        <v>16478.3</v>
      </c>
      <c r="EA17" s="3">
        <v>16097.9</v>
      </c>
      <c r="EB17" s="3">
        <v>18333.3</v>
      </c>
      <c r="EC17" s="3">
        <v>17232.2</v>
      </c>
      <c r="ED17" s="3">
        <v>19402.900000000001</v>
      </c>
      <c r="EE17" s="3">
        <v>19923.599999999999</v>
      </c>
      <c r="EF17" s="3">
        <v>20607.599999999999</v>
      </c>
      <c r="EG17" s="3">
        <v>19729.599999999999</v>
      </c>
      <c r="EH17" s="3">
        <v>19419.5</v>
      </c>
      <c r="EI17" s="3">
        <v>20801.8</v>
      </c>
      <c r="EJ17" s="3">
        <v>21740.3</v>
      </c>
      <c r="EK17" s="3">
        <v>20950.900000000001</v>
      </c>
      <c r="EL17" s="3">
        <v>20621.7</v>
      </c>
      <c r="EM17" s="3">
        <v>21412</v>
      </c>
    </row>
    <row r="18" spans="1:143" ht="20.100000000000001" customHeight="1" x14ac:dyDescent="0.3">
      <c r="A18" s="4" t="s">
        <v>159</v>
      </c>
      <c r="B18" s="3">
        <v>1430.5</v>
      </c>
      <c r="C18" s="3">
        <v>1492</v>
      </c>
      <c r="D18" s="3">
        <v>1481.3</v>
      </c>
      <c r="E18" s="3">
        <v>1503.3</v>
      </c>
      <c r="F18" s="3">
        <v>1504.8</v>
      </c>
      <c r="G18" s="3">
        <v>1518.3</v>
      </c>
      <c r="H18" s="3">
        <v>1562.2</v>
      </c>
      <c r="I18" s="3">
        <v>1615</v>
      </c>
      <c r="J18" s="3">
        <v>1533</v>
      </c>
      <c r="K18" s="3">
        <v>1512.5</v>
      </c>
      <c r="L18" s="3">
        <v>1431.4</v>
      </c>
      <c r="M18" s="3">
        <v>1422.2</v>
      </c>
      <c r="N18" s="3">
        <v>1469.1</v>
      </c>
      <c r="O18" s="3">
        <v>1468.2</v>
      </c>
      <c r="P18" s="3">
        <v>1495</v>
      </c>
      <c r="Q18" s="3">
        <v>1525.3</v>
      </c>
      <c r="R18" s="3">
        <v>1483.7</v>
      </c>
      <c r="S18" s="3">
        <v>1486.6</v>
      </c>
      <c r="T18" s="3">
        <v>1444.1</v>
      </c>
      <c r="U18" s="3">
        <v>1580.3</v>
      </c>
      <c r="V18" s="3">
        <v>1484.6</v>
      </c>
      <c r="W18" s="3">
        <v>1474.3</v>
      </c>
      <c r="X18" s="3">
        <v>1456.4</v>
      </c>
      <c r="Y18" s="3">
        <v>1527.6</v>
      </c>
      <c r="Z18" s="3">
        <v>1544.1</v>
      </c>
      <c r="AA18" s="3">
        <v>1524.6</v>
      </c>
      <c r="AB18" s="3">
        <v>1532.9</v>
      </c>
      <c r="AC18" s="3">
        <v>1490.2</v>
      </c>
      <c r="AD18" s="3">
        <v>1546.3</v>
      </c>
      <c r="AE18" s="3">
        <v>1571.7</v>
      </c>
      <c r="AF18" s="3">
        <v>1506.9</v>
      </c>
      <c r="AG18" s="3">
        <v>1479.6</v>
      </c>
      <c r="AH18" s="3">
        <v>1293.5</v>
      </c>
      <c r="AI18" s="3">
        <v>1265.0999999999999</v>
      </c>
      <c r="AJ18" s="3">
        <v>1287.5999999999999</v>
      </c>
      <c r="AK18" s="3">
        <v>1341.2</v>
      </c>
      <c r="AL18" s="3">
        <v>1370.3</v>
      </c>
      <c r="AM18" s="3">
        <v>1530</v>
      </c>
      <c r="AN18" s="3">
        <v>1520.9</v>
      </c>
      <c r="AO18" s="3">
        <v>1594.6</v>
      </c>
      <c r="AP18" s="3">
        <v>1703.2</v>
      </c>
      <c r="AQ18" s="3">
        <v>1665.4</v>
      </c>
      <c r="AR18" s="3">
        <v>1717.3</v>
      </c>
      <c r="AS18" s="3">
        <v>1700</v>
      </c>
      <c r="AT18" s="3">
        <v>1538</v>
      </c>
      <c r="AU18" s="3">
        <v>1589.4</v>
      </c>
      <c r="AV18" s="3">
        <v>1591</v>
      </c>
      <c r="AW18" s="3">
        <v>1581.8</v>
      </c>
      <c r="AX18" s="3">
        <v>1594.1</v>
      </c>
      <c r="AY18" s="3">
        <v>1632.9</v>
      </c>
      <c r="AZ18" s="3">
        <v>1641.4</v>
      </c>
      <c r="BA18" s="3">
        <v>1640.6</v>
      </c>
      <c r="BB18" s="3">
        <v>1635.7</v>
      </c>
      <c r="BC18" s="3">
        <v>1649.1</v>
      </c>
      <c r="BD18" s="3">
        <v>1655</v>
      </c>
      <c r="BE18" s="3">
        <v>1711</v>
      </c>
      <c r="BF18" s="3">
        <v>1588</v>
      </c>
      <c r="BG18" s="3">
        <v>1600.8</v>
      </c>
      <c r="BH18" s="3">
        <v>1577.4</v>
      </c>
      <c r="BI18" s="3">
        <v>1534.8</v>
      </c>
      <c r="BJ18" s="3">
        <v>1577.4</v>
      </c>
      <c r="BK18" s="3">
        <v>1630.8</v>
      </c>
      <c r="BL18" s="3">
        <v>1696.9</v>
      </c>
      <c r="BM18" s="3">
        <v>1730</v>
      </c>
      <c r="BN18" s="3">
        <v>1793.9</v>
      </c>
      <c r="BO18" s="3">
        <v>1815.9</v>
      </c>
      <c r="BP18" s="3">
        <v>1822.2</v>
      </c>
      <c r="BQ18" s="3">
        <v>1808.9</v>
      </c>
      <c r="BR18" s="3">
        <v>1880.8</v>
      </c>
      <c r="BS18" s="3">
        <v>1970.1</v>
      </c>
      <c r="BT18" s="3">
        <v>2067.6999999999998</v>
      </c>
      <c r="BU18" s="3">
        <v>2089.3000000000002</v>
      </c>
      <c r="BV18" s="3">
        <v>2126.9</v>
      </c>
      <c r="BW18" s="3">
        <v>2133.6</v>
      </c>
      <c r="BX18" s="3">
        <v>2154.5</v>
      </c>
      <c r="BY18" s="3">
        <v>2020.7</v>
      </c>
      <c r="BZ18" s="3">
        <v>2031</v>
      </c>
      <c r="CA18" s="3">
        <v>1967.9</v>
      </c>
      <c r="CB18" s="3">
        <v>2167.1</v>
      </c>
      <c r="CC18" s="3">
        <v>2165.6999999999998</v>
      </c>
      <c r="CD18" s="3">
        <v>2148.5</v>
      </c>
      <c r="CE18" s="3">
        <v>2214.8000000000002</v>
      </c>
      <c r="CF18" s="3">
        <v>2201.9</v>
      </c>
      <c r="CG18" s="3">
        <v>2276</v>
      </c>
      <c r="CH18" s="3">
        <v>2323.3000000000002</v>
      </c>
      <c r="CI18" s="3">
        <v>2386.1</v>
      </c>
      <c r="CJ18" s="3">
        <v>2369.3000000000002</v>
      </c>
      <c r="CK18" s="3">
        <v>2334.6999999999998</v>
      </c>
      <c r="CL18" s="3">
        <v>2480.8000000000002</v>
      </c>
      <c r="CM18" s="3">
        <v>2492.4</v>
      </c>
      <c r="CN18" s="3">
        <v>2611.1999999999998</v>
      </c>
      <c r="CO18" s="3">
        <v>2556.3000000000002</v>
      </c>
      <c r="CP18" s="3">
        <v>2446</v>
      </c>
      <c r="CQ18" s="3">
        <v>2651.3</v>
      </c>
      <c r="CR18" s="3">
        <v>2756.5</v>
      </c>
      <c r="CS18" s="3">
        <v>2911</v>
      </c>
      <c r="CT18" s="3">
        <v>2911.4</v>
      </c>
      <c r="CU18" s="3">
        <v>2935.2</v>
      </c>
      <c r="CV18" s="3">
        <v>3073.7</v>
      </c>
      <c r="CW18" s="3">
        <v>3151.4</v>
      </c>
      <c r="CX18" s="3">
        <v>3159.8</v>
      </c>
      <c r="CY18" s="3">
        <v>3239.1</v>
      </c>
      <c r="CZ18" s="3">
        <v>3333.4</v>
      </c>
      <c r="DA18" s="3">
        <v>3276.5</v>
      </c>
      <c r="DB18" s="3">
        <v>3137.1</v>
      </c>
      <c r="DC18" s="3">
        <v>3082.6</v>
      </c>
      <c r="DD18" s="3">
        <v>3080.7</v>
      </c>
      <c r="DE18" s="3">
        <v>3288.8</v>
      </c>
      <c r="DF18" s="3">
        <v>3433</v>
      </c>
      <c r="DG18" s="3">
        <v>3460.2</v>
      </c>
      <c r="DH18" s="3">
        <v>3455</v>
      </c>
      <c r="DI18" s="3">
        <v>3471.3</v>
      </c>
      <c r="DJ18" s="3">
        <v>3540.2</v>
      </c>
      <c r="DK18" s="3">
        <v>3639.8</v>
      </c>
      <c r="DL18" s="3">
        <v>3576.8</v>
      </c>
      <c r="DM18" s="3">
        <v>3534.1</v>
      </c>
      <c r="DN18" s="3">
        <v>3353</v>
      </c>
      <c r="DO18" s="3">
        <v>3237.4</v>
      </c>
      <c r="DP18" s="3">
        <v>3141.3</v>
      </c>
      <c r="DQ18" s="3">
        <v>3166.1</v>
      </c>
      <c r="DR18" s="3">
        <v>3289.1</v>
      </c>
      <c r="DS18" s="3">
        <v>3185.1</v>
      </c>
      <c r="DT18" s="3">
        <v>3077.2</v>
      </c>
      <c r="DU18" s="3">
        <v>3099.5</v>
      </c>
      <c r="DV18" s="3">
        <v>3291</v>
      </c>
      <c r="DW18" s="3">
        <v>3173.7</v>
      </c>
      <c r="DX18" s="3">
        <v>3108.2</v>
      </c>
      <c r="DY18" s="3">
        <v>3032.6</v>
      </c>
      <c r="DZ18" s="3">
        <v>3070.3</v>
      </c>
      <c r="EA18" s="3">
        <v>3112.4</v>
      </c>
      <c r="EB18" s="3">
        <v>3040.7</v>
      </c>
      <c r="EC18" s="3">
        <v>2963</v>
      </c>
      <c r="ED18" s="3">
        <v>2737.2</v>
      </c>
      <c r="EE18" s="3">
        <v>2678.4</v>
      </c>
      <c r="EF18" s="3">
        <v>2771.6</v>
      </c>
      <c r="EG18" s="3">
        <v>2808.2</v>
      </c>
      <c r="EH18" s="3">
        <v>2901.7</v>
      </c>
      <c r="EI18" s="3">
        <v>2774.4</v>
      </c>
      <c r="EJ18" s="3">
        <v>2819.3</v>
      </c>
      <c r="EK18" s="3">
        <v>2725.1</v>
      </c>
      <c r="EL18" s="3">
        <v>2810.4</v>
      </c>
      <c r="EM18" s="3">
        <v>2560.5</v>
      </c>
    </row>
    <row r="19" spans="1:143" ht="20.100000000000001" customHeight="1" x14ac:dyDescent="0.3">
      <c r="A19" s="4" t="s">
        <v>160</v>
      </c>
      <c r="B19" s="3">
        <v>1907</v>
      </c>
      <c r="C19" s="3">
        <v>1968.5</v>
      </c>
      <c r="D19" s="3">
        <v>2011.1</v>
      </c>
      <c r="E19" s="3">
        <v>1974</v>
      </c>
      <c r="F19" s="3">
        <v>2061.1</v>
      </c>
      <c r="G19" s="3">
        <v>2097.1999999999998</v>
      </c>
      <c r="H19" s="3">
        <v>2224.9</v>
      </c>
      <c r="I19" s="3">
        <v>2346.9</v>
      </c>
      <c r="J19" s="3">
        <v>2351.1999999999998</v>
      </c>
      <c r="K19" s="3">
        <v>2447.6999999999998</v>
      </c>
      <c r="L19" s="3">
        <v>2452.9</v>
      </c>
      <c r="M19" s="3">
        <v>2592.6999999999998</v>
      </c>
      <c r="N19" s="3">
        <v>2644.3</v>
      </c>
      <c r="O19" s="3">
        <v>2736.7</v>
      </c>
      <c r="P19" s="3">
        <v>2768.2</v>
      </c>
      <c r="Q19" s="3">
        <v>2955.9</v>
      </c>
      <c r="R19" s="3">
        <v>3067.8</v>
      </c>
      <c r="S19" s="3">
        <v>3102.4</v>
      </c>
      <c r="T19" s="3">
        <v>3225</v>
      </c>
      <c r="U19" s="3">
        <v>3195</v>
      </c>
      <c r="V19" s="3">
        <v>3278.6</v>
      </c>
      <c r="W19" s="3">
        <v>3318.7</v>
      </c>
      <c r="X19" s="3">
        <v>3424.5</v>
      </c>
      <c r="Y19" s="3">
        <v>3465.9</v>
      </c>
      <c r="Z19" s="3">
        <v>3598.8</v>
      </c>
      <c r="AA19" s="3">
        <v>3727.2</v>
      </c>
      <c r="AB19" s="3">
        <v>3788.7</v>
      </c>
      <c r="AC19" s="3">
        <v>3855.7</v>
      </c>
      <c r="AD19" s="3">
        <v>3919.7</v>
      </c>
      <c r="AE19" s="3">
        <v>4035.9</v>
      </c>
      <c r="AF19" s="3">
        <v>4188</v>
      </c>
      <c r="AG19" s="3">
        <v>4268.3999999999996</v>
      </c>
      <c r="AH19" s="3">
        <v>4047.3</v>
      </c>
      <c r="AI19" s="3">
        <v>4122.5</v>
      </c>
      <c r="AJ19" s="3">
        <v>4163.6000000000004</v>
      </c>
      <c r="AK19" s="3">
        <v>4242.8999999999996</v>
      </c>
      <c r="AL19" s="3">
        <v>4334.8999999999996</v>
      </c>
      <c r="AM19" s="3">
        <v>4514.8</v>
      </c>
      <c r="AN19" s="3">
        <v>4555.3</v>
      </c>
      <c r="AO19" s="3">
        <v>4961.2</v>
      </c>
      <c r="AP19" s="3">
        <v>4910</v>
      </c>
      <c r="AQ19" s="3">
        <v>5006.8999999999996</v>
      </c>
      <c r="AR19" s="3">
        <v>5199.6000000000004</v>
      </c>
      <c r="AS19" s="3">
        <v>5314.4</v>
      </c>
      <c r="AT19" s="3">
        <v>5461.1</v>
      </c>
      <c r="AU19" s="3">
        <v>5349.3</v>
      </c>
      <c r="AV19" s="3">
        <v>5356.5</v>
      </c>
      <c r="AW19" s="3">
        <v>5509.8</v>
      </c>
      <c r="AX19" s="3">
        <v>5755.3</v>
      </c>
      <c r="AY19" s="3">
        <v>5733.9</v>
      </c>
      <c r="AZ19" s="3">
        <v>5953.4</v>
      </c>
      <c r="BA19" s="3">
        <v>6086.8</v>
      </c>
      <c r="BB19" s="3">
        <v>6065.5</v>
      </c>
      <c r="BC19" s="3">
        <v>6131.2</v>
      </c>
      <c r="BD19" s="3">
        <v>6094.4</v>
      </c>
      <c r="BE19" s="3">
        <v>6251.9</v>
      </c>
      <c r="BF19" s="3">
        <v>6469.2</v>
      </c>
      <c r="BG19" s="3">
        <v>6543.7</v>
      </c>
      <c r="BH19" s="3">
        <v>6627.4</v>
      </c>
      <c r="BI19" s="3">
        <v>6611.4</v>
      </c>
      <c r="BJ19" s="3">
        <v>6848.7</v>
      </c>
      <c r="BK19" s="3">
        <v>7066.9</v>
      </c>
      <c r="BL19" s="3">
        <v>7066</v>
      </c>
      <c r="BM19" s="3">
        <v>7213.3</v>
      </c>
      <c r="BN19" s="3">
        <v>7190.5</v>
      </c>
      <c r="BO19" s="3">
        <v>7243.1</v>
      </c>
      <c r="BP19" s="3">
        <v>7339.2</v>
      </c>
      <c r="BQ19" s="3">
        <v>7361</v>
      </c>
      <c r="BR19" s="3">
        <v>7333.3</v>
      </c>
      <c r="BS19" s="3">
        <v>7452.2</v>
      </c>
      <c r="BT19" s="3">
        <v>7645.3</v>
      </c>
      <c r="BU19" s="3">
        <v>7909.1</v>
      </c>
      <c r="BV19" s="3">
        <v>7858.3</v>
      </c>
      <c r="BW19" s="3">
        <v>7834</v>
      </c>
      <c r="BX19" s="3">
        <v>8054</v>
      </c>
      <c r="BY19" s="3">
        <v>8098.2</v>
      </c>
      <c r="BZ19" s="3">
        <v>8322.1</v>
      </c>
      <c r="CA19" s="3">
        <v>8445.7999999999993</v>
      </c>
      <c r="CB19" s="3">
        <v>8355.2999999999993</v>
      </c>
      <c r="CC19" s="3">
        <v>8512</v>
      </c>
      <c r="CD19" s="3">
        <v>8731.1</v>
      </c>
      <c r="CE19" s="3">
        <v>8809.9</v>
      </c>
      <c r="CF19" s="3">
        <v>8941.1</v>
      </c>
      <c r="CG19" s="3">
        <v>8689</v>
      </c>
      <c r="CH19" s="3">
        <v>8838.4</v>
      </c>
      <c r="CI19" s="3">
        <v>8868.2000000000007</v>
      </c>
      <c r="CJ19" s="3">
        <v>9146</v>
      </c>
      <c r="CK19" s="3">
        <v>8802.1</v>
      </c>
      <c r="CL19" s="3">
        <v>8962.9</v>
      </c>
      <c r="CM19" s="3">
        <v>9202.6</v>
      </c>
      <c r="CN19" s="3">
        <v>9115.2999999999993</v>
      </c>
      <c r="CO19" s="3">
        <v>9330.9</v>
      </c>
      <c r="CP19" s="3">
        <v>9055</v>
      </c>
      <c r="CQ19" s="3">
        <v>8883.2000000000007</v>
      </c>
      <c r="CR19" s="3">
        <v>8923.9</v>
      </c>
      <c r="CS19" s="3">
        <v>9286.4</v>
      </c>
      <c r="CT19" s="3">
        <v>9156.9</v>
      </c>
      <c r="CU19" s="3">
        <v>9259.2000000000007</v>
      </c>
      <c r="CV19" s="3">
        <v>9348.6</v>
      </c>
      <c r="CW19" s="3">
        <v>9662.4</v>
      </c>
      <c r="CX19" s="3">
        <v>9802.4</v>
      </c>
      <c r="CY19" s="3">
        <v>9927.6</v>
      </c>
      <c r="CZ19" s="3">
        <v>10124.9</v>
      </c>
      <c r="DA19" s="3">
        <v>10096.5</v>
      </c>
      <c r="DB19" s="3">
        <v>10007.4</v>
      </c>
      <c r="DC19" s="3">
        <v>9814.2000000000007</v>
      </c>
      <c r="DD19" s="3">
        <v>9958.7000000000007</v>
      </c>
      <c r="DE19" s="3">
        <v>10015.700000000001</v>
      </c>
      <c r="DF19" s="3">
        <v>10345</v>
      </c>
      <c r="DG19" s="3">
        <v>10462.700000000001</v>
      </c>
      <c r="DH19" s="3">
        <v>10673.7</v>
      </c>
      <c r="DI19" s="3">
        <v>10570.5</v>
      </c>
      <c r="DJ19" s="3">
        <v>10053.5</v>
      </c>
      <c r="DK19" s="3">
        <v>10280.4</v>
      </c>
      <c r="DL19" s="3">
        <v>10501.4</v>
      </c>
      <c r="DM19" s="3">
        <v>10703.1</v>
      </c>
      <c r="DN19" s="3">
        <v>10686.6</v>
      </c>
      <c r="DO19" s="3">
        <v>11428.5</v>
      </c>
      <c r="DP19" s="3">
        <v>10266.700000000001</v>
      </c>
      <c r="DQ19" s="3">
        <v>10747.1</v>
      </c>
      <c r="DR19" s="3">
        <v>11484.4</v>
      </c>
      <c r="DS19" s="3">
        <v>11451.4</v>
      </c>
      <c r="DT19" s="3">
        <v>11212.1</v>
      </c>
      <c r="DU19" s="3">
        <v>11457.4</v>
      </c>
      <c r="DV19" s="3">
        <v>11673.7</v>
      </c>
      <c r="DW19" s="3">
        <v>11575.6</v>
      </c>
      <c r="DX19" s="3">
        <v>11601.3</v>
      </c>
      <c r="DY19" s="3">
        <v>11552.5</v>
      </c>
      <c r="DZ19" s="3">
        <v>11809.1</v>
      </c>
      <c r="EA19" s="3">
        <v>12138.7</v>
      </c>
      <c r="EB19" s="3">
        <v>11984.9</v>
      </c>
      <c r="EC19" s="3">
        <v>12087.6</v>
      </c>
      <c r="ED19" s="3">
        <v>11245.6</v>
      </c>
      <c r="EE19" s="3">
        <v>11657.8</v>
      </c>
      <c r="EF19" s="3">
        <v>11778.4</v>
      </c>
      <c r="EG19" s="3">
        <v>12085.1</v>
      </c>
      <c r="EH19" s="3">
        <v>11934.1</v>
      </c>
      <c r="EI19" s="3">
        <v>11944.3</v>
      </c>
      <c r="EJ19" s="3">
        <v>12587.6</v>
      </c>
      <c r="EK19" s="3">
        <v>11843.3</v>
      </c>
      <c r="EL19" s="3">
        <v>12462.4</v>
      </c>
      <c r="EM19" s="3">
        <v>11784.2</v>
      </c>
    </row>
    <row r="20" spans="1:143" ht="20.100000000000001" customHeight="1" x14ac:dyDescent="0.3">
      <c r="A20" s="4" t="s">
        <v>161</v>
      </c>
      <c r="B20" s="3">
        <v>1028.2</v>
      </c>
      <c r="C20" s="3">
        <v>1061</v>
      </c>
      <c r="D20" s="3">
        <v>1072.5</v>
      </c>
      <c r="E20" s="3">
        <v>1040.7</v>
      </c>
      <c r="F20" s="3">
        <v>1100.2</v>
      </c>
      <c r="G20" s="3">
        <v>1121.9000000000001</v>
      </c>
      <c r="H20" s="3">
        <v>1184.0999999999999</v>
      </c>
      <c r="I20" s="3">
        <v>1238.7</v>
      </c>
      <c r="J20" s="3">
        <v>1202.2</v>
      </c>
      <c r="K20" s="3">
        <v>1255.5</v>
      </c>
      <c r="L20" s="3">
        <v>1248.7</v>
      </c>
      <c r="M20" s="3">
        <v>1297.0999999999999</v>
      </c>
      <c r="N20" s="3">
        <v>1335.3</v>
      </c>
      <c r="O20" s="3">
        <v>1380.2</v>
      </c>
      <c r="P20" s="3">
        <v>1391.8</v>
      </c>
      <c r="Q20" s="3">
        <v>1492.1</v>
      </c>
      <c r="R20" s="3">
        <v>1540.6</v>
      </c>
      <c r="S20" s="3">
        <v>1555.1</v>
      </c>
      <c r="T20" s="3">
        <v>1632.2</v>
      </c>
      <c r="U20" s="3">
        <v>1592.6</v>
      </c>
      <c r="V20" s="3">
        <v>1633.4</v>
      </c>
      <c r="W20" s="3">
        <v>1662.1</v>
      </c>
      <c r="X20" s="3">
        <v>1706.4</v>
      </c>
      <c r="Y20" s="3">
        <v>1719.6</v>
      </c>
      <c r="Z20" s="3">
        <v>1808.5</v>
      </c>
      <c r="AA20" s="3">
        <v>1857.9</v>
      </c>
      <c r="AB20" s="3">
        <v>1911.8</v>
      </c>
      <c r="AC20" s="3">
        <v>1938.6</v>
      </c>
      <c r="AD20" s="3">
        <v>1984.1</v>
      </c>
      <c r="AE20" s="3">
        <v>2053.6</v>
      </c>
      <c r="AF20" s="3">
        <v>2171.6</v>
      </c>
      <c r="AG20" s="3">
        <v>2205.1999999999998</v>
      </c>
      <c r="AH20" s="3">
        <v>2126.8000000000002</v>
      </c>
      <c r="AI20" s="3">
        <v>2159.1999999999998</v>
      </c>
      <c r="AJ20" s="3">
        <v>2140.8000000000002</v>
      </c>
      <c r="AK20" s="3">
        <v>2193.5</v>
      </c>
      <c r="AL20" s="3">
        <v>2171.3000000000002</v>
      </c>
      <c r="AM20" s="3">
        <v>2247.9</v>
      </c>
      <c r="AN20" s="3">
        <v>2325.1999999999998</v>
      </c>
      <c r="AO20" s="3">
        <v>2587.6999999999998</v>
      </c>
      <c r="AP20" s="3">
        <v>2544.6999999999998</v>
      </c>
      <c r="AQ20" s="3">
        <v>2626.4</v>
      </c>
      <c r="AR20" s="3">
        <v>2718.7</v>
      </c>
      <c r="AS20" s="3">
        <v>2810.4</v>
      </c>
      <c r="AT20" s="3">
        <v>2862.6</v>
      </c>
      <c r="AU20" s="3">
        <v>2784.4</v>
      </c>
      <c r="AV20" s="3">
        <v>2746.2</v>
      </c>
      <c r="AW20" s="3">
        <v>2820.9</v>
      </c>
      <c r="AX20" s="3">
        <v>3082</v>
      </c>
      <c r="AY20" s="3">
        <v>3001.7</v>
      </c>
      <c r="AZ20" s="3">
        <v>3056.4</v>
      </c>
      <c r="BA20" s="3">
        <v>3116.9</v>
      </c>
      <c r="BB20" s="3">
        <v>3162.3</v>
      </c>
      <c r="BC20" s="3">
        <v>3182.6</v>
      </c>
      <c r="BD20" s="3">
        <v>3153.8</v>
      </c>
      <c r="BE20" s="3">
        <v>3222.4</v>
      </c>
      <c r="BF20" s="3">
        <v>3303.9</v>
      </c>
      <c r="BG20" s="3">
        <v>3354.7</v>
      </c>
      <c r="BH20" s="3">
        <v>3406.7</v>
      </c>
      <c r="BI20" s="3">
        <v>3432.5</v>
      </c>
      <c r="BJ20" s="3">
        <v>3481.3</v>
      </c>
      <c r="BK20" s="3">
        <v>3771.5</v>
      </c>
      <c r="BL20" s="3">
        <v>3700.4</v>
      </c>
      <c r="BM20" s="3">
        <v>3744.1</v>
      </c>
      <c r="BN20" s="3">
        <v>3702.9</v>
      </c>
      <c r="BO20" s="3">
        <v>3757</v>
      </c>
      <c r="BP20" s="3">
        <v>3823.6</v>
      </c>
      <c r="BQ20" s="3">
        <v>3894.2</v>
      </c>
      <c r="BR20" s="3">
        <v>3811.6</v>
      </c>
      <c r="BS20" s="3">
        <v>3844</v>
      </c>
      <c r="BT20" s="3">
        <v>3955.2</v>
      </c>
      <c r="BU20" s="3">
        <v>4107.7</v>
      </c>
      <c r="BV20" s="3">
        <v>4017.3</v>
      </c>
      <c r="BW20" s="3">
        <v>4072.7</v>
      </c>
      <c r="BX20" s="3">
        <v>4217.2</v>
      </c>
      <c r="BY20" s="3">
        <v>4239.8999999999996</v>
      </c>
      <c r="BZ20" s="3">
        <v>4559.8</v>
      </c>
      <c r="CA20" s="3">
        <v>4261.2</v>
      </c>
      <c r="CB20" s="3">
        <v>4207.1000000000004</v>
      </c>
      <c r="CC20" s="3">
        <v>4242.6000000000004</v>
      </c>
      <c r="CD20" s="3">
        <v>4570.1000000000004</v>
      </c>
      <c r="CE20" s="3">
        <v>4564.8999999999996</v>
      </c>
      <c r="CF20" s="3">
        <v>4644.1000000000004</v>
      </c>
      <c r="CG20" s="3">
        <v>4449.1000000000004</v>
      </c>
      <c r="CH20" s="3">
        <v>4476.8999999999996</v>
      </c>
      <c r="CI20" s="3">
        <v>4605</v>
      </c>
      <c r="CJ20" s="3">
        <v>4748.7</v>
      </c>
      <c r="CK20" s="3">
        <v>4575.6000000000004</v>
      </c>
      <c r="CL20" s="3">
        <v>4446.2</v>
      </c>
      <c r="CM20" s="3">
        <v>4697.1000000000004</v>
      </c>
      <c r="CN20" s="3">
        <v>4520.7</v>
      </c>
      <c r="CO20" s="3">
        <v>4608.6000000000004</v>
      </c>
      <c r="CP20" s="3">
        <v>4373.7</v>
      </c>
      <c r="CQ20" s="3">
        <v>4207.3</v>
      </c>
      <c r="CR20" s="3">
        <v>4363.8999999999996</v>
      </c>
      <c r="CS20" s="3">
        <v>4454.5</v>
      </c>
      <c r="CT20" s="3">
        <v>4576.8999999999996</v>
      </c>
      <c r="CU20" s="3">
        <v>4656.3</v>
      </c>
      <c r="CV20" s="3">
        <v>4713.3999999999996</v>
      </c>
      <c r="CW20" s="3">
        <v>5050</v>
      </c>
      <c r="CX20" s="3">
        <v>5138.3</v>
      </c>
      <c r="CY20" s="3">
        <v>5173.3999999999996</v>
      </c>
      <c r="CZ20" s="3">
        <v>5339.8</v>
      </c>
      <c r="DA20" s="3">
        <v>5524.6</v>
      </c>
      <c r="DB20" s="3">
        <v>5252</v>
      </c>
      <c r="DC20" s="3">
        <v>5068.1000000000004</v>
      </c>
      <c r="DD20" s="3">
        <v>5175.8999999999996</v>
      </c>
      <c r="DE20" s="3">
        <v>5278.4</v>
      </c>
      <c r="DF20" s="3">
        <v>5420.7</v>
      </c>
      <c r="DG20" s="3">
        <v>5614.9</v>
      </c>
      <c r="DH20" s="3">
        <v>5727.5</v>
      </c>
      <c r="DI20" s="3">
        <v>5689.5</v>
      </c>
      <c r="DJ20" s="3">
        <v>5076</v>
      </c>
      <c r="DK20" s="3">
        <v>5328.2</v>
      </c>
      <c r="DL20" s="3">
        <v>5607.2</v>
      </c>
      <c r="DM20" s="3">
        <v>5821.9</v>
      </c>
      <c r="DN20" s="3">
        <v>5835.2</v>
      </c>
      <c r="DO20" s="3">
        <v>6466.8</v>
      </c>
      <c r="DP20" s="3">
        <v>5316.2</v>
      </c>
      <c r="DQ20" s="3">
        <v>5664.9</v>
      </c>
      <c r="DR20" s="3">
        <v>6515.9</v>
      </c>
      <c r="DS20" s="3">
        <v>6712.4</v>
      </c>
      <c r="DT20" s="3">
        <v>6394.4</v>
      </c>
      <c r="DU20" s="3">
        <v>6334.6</v>
      </c>
      <c r="DV20" s="3">
        <v>6617.1</v>
      </c>
      <c r="DW20" s="3">
        <v>6426.5</v>
      </c>
      <c r="DX20" s="3">
        <v>6513.1</v>
      </c>
      <c r="DY20" s="3">
        <v>6519.3</v>
      </c>
      <c r="DZ20" s="3">
        <v>7020.8</v>
      </c>
      <c r="EA20" s="3">
        <v>7224.8</v>
      </c>
      <c r="EB20" s="3">
        <v>7309.1</v>
      </c>
      <c r="EC20" s="3">
        <v>6987.7</v>
      </c>
      <c r="ED20" s="3">
        <v>7795</v>
      </c>
      <c r="EE20" s="3">
        <v>7354.8</v>
      </c>
      <c r="EF20" s="3">
        <v>6799.7</v>
      </c>
      <c r="EG20" s="3">
        <v>7632.1</v>
      </c>
      <c r="EH20" s="3">
        <v>7547.9</v>
      </c>
      <c r="EI20" s="3">
        <v>7528.2</v>
      </c>
      <c r="EJ20" s="3">
        <v>8122.9</v>
      </c>
      <c r="EK20" s="3">
        <v>8190.6</v>
      </c>
      <c r="EL20" s="3">
        <v>8128.9</v>
      </c>
      <c r="EM20" s="3">
        <v>7497.4</v>
      </c>
    </row>
    <row r="21" spans="1:143" ht="20.100000000000001" customHeight="1" x14ac:dyDescent="0.3">
      <c r="A21" s="4" t="s">
        <v>162</v>
      </c>
      <c r="B21" s="3">
        <v>83.9</v>
      </c>
      <c r="C21" s="3">
        <v>87</v>
      </c>
      <c r="D21" s="3">
        <v>105.3</v>
      </c>
      <c r="E21" s="3">
        <v>115.1</v>
      </c>
      <c r="F21" s="3">
        <v>108.2</v>
      </c>
      <c r="G21" s="3">
        <v>107.3</v>
      </c>
      <c r="H21" s="3">
        <v>119.9</v>
      </c>
      <c r="I21" s="3">
        <v>148.19999999999999</v>
      </c>
      <c r="J21" s="3">
        <v>176.9</v>
      </c>
      <c r="K21" s="3">
        <v>180.5</v>
      </c>
      <c r="L21" s="3">
        <v>186.8</v>
      </c>
      <c r="M21" s="3">
        <v>245.2</v>
      </c>
      <c r="N21" s="3">
        <v>233.6</v>
      </c>
      <c r="O21" s="3">
        <v>252.7</v>
      </c>
      <c r="P21" s="3">
        <v>259.7</v>
      </c>
      <c r="Q21" s="3">
        <v>299.89999999999998</v>
      </c>
      <c r="R21" s="3">
        <v>323.39999999999998</v>
      </c>
      <c r="S21" s="3">
        <v>324.5</v>
      </c>
      <c r="T21" s="3">
        <v>328.5</v>
      </c>
      <c r="U21" s="3">
        <v>373.7</v>
      </c>
      <c r="V21" s="3">
        <v>408.1</v>
      </c>
      <c r="W21" s="3">
        <v>433.3</v>
      </c>
      <c r="X21" s="3">
        <v>479.3</v>
      </c>
      <c r="Y21" s="3">
        <v>477.4</v>
      </c>
      <c r="Z21" s="3">
        <v>487.4</v>
      </c>
      <c r="AA21" s="3">
        <v>532</v>
      </c>
      <c r="AB21" s="3">
        <v>524.4</v>
      </c>
      <c r="AC21" s="3">
        <v>538.1</v>
      </c>
      <c r="AD21" s="3">
        <v>555</v>
      </c>
      <c r="AE21" s="3">
        <v>599.79999999999995</v>
      </c>
      <c r="AF21" s="3">
        <v>578.9</v>
      </c>
      <c r="AG21" s="3">
        <v>592</v>
      </c>
      <c r="AH21" s="3">
        <v>513.5</v>
      </c>
      <c r="AI21" s="3">
        <v>520.79999999999995</v>
      </c>
      <c r="AJ21" s="3">
        <v>597.6</v>
      </c>
      <c r="AK21" s="3">
        <v>591.5</v>
      </c>
      <c r="AL21" s="3">
        <v>656.5</v>
      </c>
      <c r="AM21" s="3">
        <v>699.1</v>
      </c>
      <c r="AN21" s="3">
        <v>716.1</v>
      </c>
      <c r="AO21" s="3">
        <v>767.7</v>
      </c>
      <c r="AP21" s="3">
        <v>749.1</v>
      </c>
      <c r="AQ21" s="3">
        <v>737.7</v>
      </c>
      <c r="AR21" s="3">
        <v>812.4</v>
      </c>
      <c r="AS21" s="3">
        <v>823.3</v>
      </c>
      <c r="AT21" s="3">
        <v>956.6</v>
      </c>
      <c r="AU21" s="3">
        <v>901.7</v>
      </c>
      <c r="AV21" s="3">
        <v>952.5</v>
      </c>
      <c r="AW21" s="3">
        <v>994.8</v>
      </c>
      <c r="AX21" s="3">
        <v>940.2</v>
      </c>
      <c r="AY21" s="3">
        <v>971.5</v>
      </c>
      <c r="AZ21" s="3">
        <v>1128.5999999999999</v>
      </c>
      <c r="BA21" s="3">
        <v>1164.9000000000001</v>
      </c>
      <c r="BB21" s="3">
        <v>1069.0999999999999</v>
      </c>
      <c r="BC21" s="3">
        <v>1119.5999999999999</v>
      </c>
      <c r="BD21" s="3">
        <v>1085.2</v>
      </c>
      <c r="BE21" s="3">
        <v>1110.8</v>
      </c>
      <c r="BF21" s="3">
        <v>1222.5999999999999</v>
      </c>
      <c r="BG21" s="3">
        <v>1273.4000000000001</v>
      </c>
      <c r="BH21" s="3">
        <v>1285.8</v>
      </c>
      <c r="BI21" s="3">
        <v>1198.8</v>
      </c>
      <c r="BJ21" s="3">
        <v>1443.3</v>
      </c>
      <c r="BK21" s="3">
        <v>1215.7</v>
      </c>
      <c r="BL21" s="3">
        <v>1306.0999999999999</v>
      </c>
      <c r="BM21" s="3">
        <v>1448.7</v>
      </c>
      <c r="BN21" s="3">
        <v>1447.8</v>
      </c>
      <c r="BO21" s="3">
        <v>1403.5</v>
      </c>
      <c r="BP21" s="3">
        <v>1381.8</v>
      </c>
      <c r="BQ21" s="3">
        <v>1303.5999999999999</v>
      </c>
      <c r="BR21" s="3">
        <v>1393.2</v>
      </c>
      <c r="BS21" s="3">
        <v>1471.8</v>
      </c>
      <c r="BT21" s="3">
        <v>1463.6</v>
      </c>
      <c r="BU21" s="3">
        <v>1503.9</v>
      </c>
      <c r="BV21" s="3">
        <v>1634.1</v>
      </c>
      <c r="BW21" s="3">
        <v>1485.9</v>
      </c>
      <c r="BX21" s="3">
        <v>1537.5</v>
      </c>
      <c r="BY21" s="3">
        <v>1468.5</v>
      </c>
      <c r="BZ21" s="3">
        <v>1340.8</v>
      </c>
      <c r="CA21" s="3">
        <v>1481</v>
      </c>
      <c r="CB21" s="3">
        <v>1513.6</v>
      </c>
      <c r="CC21" s="3">
        <v>1622.3</v>
      </c>
      <c r="CD21" s="3">
        <v>1481</v>
      </c>
      <c r="CE21" s="3">
        <v>1508.9</v>
      </c>
      <c r="CF21" s="3">
        <v>1468.9</v>
      </c>
      <c r="CG21" s="3">
        <v>1530.5</v>
      </c>
      <c r="CH21" s="3">
        <v>1550.1</v>
      </c>
      <c r="CI21" s="3">
        <v>1520.5</v>
      </c>
      <c r="CJ21" s="3">
        <v>1533.8</v>
      </c>
      <c r="CK21" s="3">
        <v>1382.9</v>
      </c>
      <c r="CL21" s="3">
        <v>1558.4</v>
      </c>
      <c r="CM21" s="3">
        <v>1521.5</v>
      </c>
      <c r="CN21" s="3">
        <v>1612.9</v>
      </c>
      <c r="CO21" s="3">
        <v>1610.7</v>
      </c>
      <c r="CP21" s="3">
        <v>1645.7</v>
      </c>
      <c r="CQ21" s="3">
        <v>1671.7</v>
      </c>
      <c r="CR21" s="3">
        <v>1552.1</v>
      </c>
      <c r="CS21" s="3">
        <v>1611.9</v>
      </c>
      <c r="CT21" s="3">
        <v>1476.4</v>
      </c>
      <c r="CU21" s="3">
        <v>1483.6</v>
      </c>
      <c r="CV21" s="3">
        <v>1486.3</v>
      </c>
      <c r="CW21" s="3">
        <v>1456.1</v>
      </c>
      <c r="CX21" s="3">
        <v>1390.5</v>
      </c>
      <c r="CY21" s="3">
        <v>1436.3</v>
      </c>
      <c r="CZ21" s="3">
        <v>1397.4</v>
      </c>
      <c r="DA21" s="3">
        <v>1273.4000000000001</v>
      </c>
      <c r="DB21" s="3">
        <v>1392.8</v>
      </c>
      <c r="DC21" s="3">
        <v>1345.3</v>
      </c>
      <c r="DD21" s="3">
        <v>1434.2</v>
      </c>
      <c r="DE21" s="3">
        <v>1436</v>
      </c>
      <c r="DF21" s="3">
        <v>1581.8</v>
      </c>
      <c r="DG21" s="3">
        <v>1518.6</v>
      </c>
      <c r="DH21" s="3">
        <v>1598.2</v>
      </c>
      <c r="DI21" s="3">
        <v>1661.7</v>
      </c>
      <c r="DJ21" s="3">
        <v>1651.8</v>
      </c>
      <c r="DK21" s="3">
        <v>1596.7</v>
      </c>
      <c r="DL21" s="3">
        <v>1526.1</v>
      </c>
      <c r="DM21" s="3">
        <v>1505.9</v>
      </c>
      <c r="DN21" s="3">
        <v>1542.1</v>
      </c>
      <c r="DO21" s="3">
        <v>1590.9</v>
      </c>
      <c r="DP21" s="3">
        <v>1500</v>
      </c>
      <c r="DQ21" s="3">
        <v>1538.6</v>
      </c>
      <c r="DR21" s="3">
        <v>1497.2</v>
      </c>
      <c r="DS21" s="3">
        <v>1409.8</v>
      </c>
      <c r="DT21" s="3">
        <v>1428.2</v>
      </c>
      <c r="DU21" s="3">
        <v>1594.2</v>
      </c>
      <c r="DV21" s="3">
        <v>1656.3</v>
      </c>
      <c r="DW21" s="3">
        <v>1700.6</v>
      </c>
      <c r="DX21" s="3">
        <v>1617.6</v>
      </c>
      <c r="DY21" s="3">
        <v>1550.4</v>
      </c>
      <c r="DZ21" s="3">
        <v>1537.5</v>
      </c>
      <c r="EA21" s="3">
        <v>1567.7</v>
      </c>
      <c r="EB21" s="3">
        <v>1536.8</v>
      </c>
      <c r="EC21" s="3">
        <v>1604.4</v>
      </c>
      <c r="ED21" s="3">
        <v>1425.7</v>
      </c>
      <c r="EE21" s="3">
        <v>1453.1</v>
      </c>
      <c r="EF21" s="3">
        <v>1536.9</v>
      </c>
      <c r="EG21" s="3">
        <v>1624.1</v>
      </c>
      <c r="EH21" s="3">
        <v>1520.9</v>
      </c>
      <c r="EI21" s="3">
        <v>1584.8</v>
      </c>
      <c r="EJ21" s="3">
        <v>1649.9</v>
      </c>
      <c r="EK21" s="3">
        <v>1422.5</v>
      </c>
      <c r="EL21" s="3">
        <v>1632.6</v>
      </c>
      <c r="EM21" s="3">
        <v>1580.3</v>
      </c>
    </row>
    <row r="22" spans="1:143" ht="20.100000000000001" customHeight="1" x14ac:dyDescent="0.3">
      <c r="A22" s="4" t="s">
        <v>163</v>
      </c>
      <c r="B22" s="3">
        <v>917.2</v>
      </c>
      <c r="C22" s="3">
        <v>946.4</v>
      </c>
      <c r="D22" s="3">
        <v>965.8</v>
      </c>
      <c r="E22" s="3">
        <v>976.3</v>
      </c>
      <c r="F22" s="3">
        <v>988.2</v>
      </c>
      <c r="G22" s="3">
        <v>1001.1</v>
      </c>
      <c r="H22" s="3">
        <v>1077.0999999999999</v>
      </c>
      <c r="I22" s="3">
        <v>1121.7</v>
      </c>
      <c r="J22" s="3">
        <v>1241.2</v>
      </c>
      <c r="K22" s="3">
        <v>1282.4000000000001</v>
      </c>
      <c r="L22" s="3">
        <v>1317.3</v>
      </c>
      <c r="M22" s="3">
        <v>1366.2</v>
      </c>
      <c r="N22" s="3">
        <v>1387.5</v>
      </c>
      <c r="O22" s="3">
        <v>1416.6</v>
      </c>
      <c r="P22" s="3">
        <v>1444.1</v>
      </c>
      <c r="Q22" s="3">
        <v>1454.2</v>
      </c>
      <c r="R22" s="3">
        <v>1519.5</v>
      </c>
      <c r="S22" s="3">
        <v>1555.1</v>
      </c>
      <c r="T22" s="3">
        <v>1569.7</v>
      </c>
      <c r="U22" s="3">
        <v>1545.5</v>
      </c>
      <c r="V22" s="3">
        <v>1543.1</v>
      </c>
      <c r="W22" s="3">
        <v>1484.8</v>
      </c>
      <c r="X22" s="3">
        <v>1499.3</v>
      </c>
      <c r="Y22" s="3">
        <v>1562.6</v>
      </c>
      <c r="Z22" s="3">
        <v>1563.2</v>
      </c>
      <c r="AA22" s="3">
        <v>1625.5</v>
      </c>
      <c r="AB22" s="3">
        <v>1602.2</v>
      </c>
      <c r="AC22" s="3">
        <v>1646.3</v>
      </c>
      <c r="AD22" s="3">
        <v>1626.3</v>
      </c>
      <c r="AE22" s="3">
        <v>1603.3</v>
      </c>
      <c r="AF22" s="3">
        <v>1612.7</v>
      </c>
      <c r="AG22" s="3">
        <v>1663.7</v>
      </c>
      <c r="AH22" s="3">
        <v>1545.6</v>
      </c>
      <c r="AI22" s="3">
        <v>1595.4</v>
      </c>
      <c r="AJ22" s="3">
        <v>1625.7</v>
      </c>
      <c r="AK22" s="3">
        <v>1647.5</v>
      </c>
      <c r="AL22" s="3">
        <v>1764.9</v>
      </c>
      <c r="AM22" s="3">
        <v>1847.1</v>
      </c>
      <c r="AN22" s="3">
        <v>1700</v>
      </c>
      <c r="AO22" s="3">
        <v>1730.6</v>
      </c>
      <c r="AP22" s="3">
        <v>1763.6</v>
      </c>
      <c r="AQ22" s="3">
        <v>1753.2</v>
      </c>
      <c r="AR22" s="3">
        <v>1774.4</v>
      </c>
      <c r="AS22" s="3">
        <v>1739.2</v>
      </c>
      <c r="AT22" s="3">
        <v>1718</v>
      </c>
      <c r="AU22" s="3">
        <v>1774.4</v>
      </c>
      <c r="AV22" s="3">
        <v>1813.1</v>
      </c>
      <c r="AW22" s="3">
        <v>1855.2</v>
      </c>
      <c r="AX22" s="3">
        <v>1762.7</v>
      </c>
      <c r="AY22" s="3">
        <v>1862.9</v>
      </c>
      <c r="AZ22" s="3">
        <v>1905.4</v>
      </c>
      <c r="BA22" s="3">
        <v>1950.9</v>
      </c>
      <c r="BB22" s="3">
        <v>1940.3</v>
      </c>
      <c r="BC22" s="3">
        <v>1946.7</v>
      </c>
      <c r="BD22" s="3">
        <v>1989.5</v>
      </c>
      <c r="BE22" s="3">
        <v>2072.6</v>
      </c>
      <c r="BF22" s="3">
        <v>2128.6</v>
      </c>
      <c r="BG22" s="3">
        <v>2083.1999999999998</v>
      </c>
      <c r="BH22" s="3">
        <v>2094.4</v>
      </c>
      <c r="BI22" s="3">
        <v>2108.9</v>
      </c>
      <c r="BJ22" s="3">
        <v>2128</v>
      </c>
      <c r="BK22" s="3">
        <v>2127.8000000000002</v>
      </c>
      <c r="BL22" s="3">
        <v>2171.6</v>
      </c>
      <c r="BM22" s="3">
        <v>2165.3000000000002</v>
      </c>
      <c r="BN22" s="3">
        <v>2212.6999999999998</v>
      </c>
      <c r="BO22" s="3">
        <v>2228.9</v>
      </c>
      <c r="BP22" s="3">
        <v>2263.9</v>
      </c>
      <c r="BQ22" s="3">
        <v>2238.1</v>
      </c>
      <c r="BR22" s="3">
        <v>2266.6</v>
      </c>
      <c r="BS22" s="3">
        <v>2299.5</v>
      </c>
      <c r="BT22" s="3">
        <v>2383.5</v>
      </c>
      <c r="BU22" s="3">
        <v>2448.5</v>
      </c>
      <c r="BV22" s="3">
        <v>2404.6999999999998</v>
      </c>
      <c r="BW22" s="3">
        <v>2422.9</v>
      </c>
      <c r="BX22" s="3">
        <v>2432.3000000000002</v>
      </c>
      <c r="BY22" s="3">
        <v>2520.1</v>
      </c>
      <c r="BZ22" s="3">
        <v>2429.8000000000002</v>
      </c>
      <c r="CA22" s="3">
        <v>2765.2</v>
      </c>
      <c r="CB22" s="3">
        <v>2725.9</v>
      </c>
      <c r="CC22" s="3">
        <v>2788.6</v>
      </c>
      <c r="CD22" s="3">
        <v>2723.5</v>
      </c>
      <c r="CE22" s="3">
        <v>2795.3</v>
      </c>
      <c r="CF22" s="3">
        <v>2874.7</v>
      </c>
      <c r="CG22" s="3">
        <v>2789.6</v>
      </c>
      <c r="CH22" s="3">
        <v>2886.2</v>
      </c>
      <c r="CI22" s="3">
        <v>2794.5</v>
      </c>
      <c r="CJ22" s="3">
        <v>2928.4</v>
      </c>
      <c r="CK22" s="3">
        <v>2935.4</v>
      </c>
      <c r="CL22" s="3">
        <v>3010.4</v>
      </c>
      <c r="CM22" s="3">
        <v>3067.4</v>
      </c>
      <c r="CN22" s="3">
        <v>3023.5</v>
      </c>
      <c r="CO22" s="3">
        <v>3171</v>
      </c>
      <c r="CP22" s="3">
        <v>3047.3</v>
      </c>
      <c r="CQ22" s="3">
        <v>2984.3</v>
      </c>
      <c r="CR22" s="3">
        <v>3060.1</v>
      </c>
      <c r="CS22" s="3">
        <v>3280.3</v>
      </c>
      <c r="CT22" s="3">
        <v>3167.7</v>
      </c>
      <c r="CU22" s="3">
        <v>3179.3</v>
      </c>
      <c r="CV22" s="3">
        <v>3212.1</v>
      </c>
      <c r="CW22" s="3">
        <v>3204.8</v>
      </c>
      <c r="CX22" s="3">
        <v>3321</v>
      </c>
      <c r="CY22" s="3">
        <v>3369.4</v>
      </c>
      <c r="CZ22" s="3">
        <v>3439</v>
      </c>
      <c r="DA22" s="3">
        <v>3284</v>
      </c>
      <c r="DB22" s="3">
        <v>3432.7</v>
      </c>
      <c r="DC22" s="3">
        <v>3558.8</v>
      </c>
      <c r="DD22" s="3">
        <v>3430.1</v>
      </c>
      <c r="DE22" s="3">
        <v>3321.9</v>
      </c>
      <c r="DF22" s="3">
        <v>3363</v>
      </c>
      <c r="DG22" s="3">
        <v>3263.8</v>
      </c>
      <c r="DH22" s="3">
        <v>3263</v>
      </c>
      <c r="DI22" s="3">
        <v>3089.6</v>
      </c>
      <c r="DJ22" s="3">
        <v>3332.3</v>
      </c>
      <c r="DK22" s="3">
        <v>3336.7</v>
      </c>
      <c r="DL22" s="3">
        <v>3317.3</v>
      </c>
      <c r="DM22" s="3">
        <v>3298.8</v>
      </c>
      <c r="DN22" s="3">
        <v>3280.6</v>
      </c>
      <c r="DO22" s="3">
        <v>3347.2</v>
      </c>
      <c r="DP22" s="3">
        <v>3414.7</v>
      </c>
      <c r="DQ22" s="3">
        <v>3509.4</v>
      </c>
      <c r="DR22" s="3">
        <v>3469.2</v>
      </c>
      <c r="DS22" s="3">
        <v>3348.2</v>
      </c>
      <c r="DT22" s="3">
        <v>3390.3</v>
      </c>
      <c r="DU22" s="3">
        <v>3510.9</v>
      </c>
      <c r="DV22" s="3">
        <v>3400.3</v>
      </c>
      <c r="DW22" s="3">
        <v>3448.5</v>
      </c>
      <c r="DX22" s="3">
        <v>3470.6</v>
      </c>
      <c r="DY22" s="3">
        <v>3482.8</v>
      </c>
      <c r="DZ22" s="3">
        <v>3367.7</v>
      </c>
      <c r="EA22" s="3">
        <v>3467.7</v>
      </c>
      <c r="EB22" s="3">
        <v>3317.4</v>
      </c>
      <c r="EC22" s="3">
        <v>3551</v>
      </c>
      <c r="ED22" s="3">
        <v>3424.9</v>
      </c>
      <c r="EE22" s="3">
        <v>3459.3</v>
      </c>
      <c r="EF22" s="3">
        <v>3324.2</v>
      </c>
      <c r="EG22" s="3">
        <v>3467.8</v>
      </c>
      <c r="EH22" s="3">
        <v>3512.5</v>
      </c>
      <c r="EI22" s="3">
        <v>3465.6</v>
      </c>
      <c r="EJ22" s="3">
        <v>3544.5</v>
      </c>
      <c r="EK22" s="3">
        <v>3099.7</v>
      </c>
      <c r="EL22" s="3">
        <v>3429.3</v>
      </c>
      <c r="EM22" s="3">
        <v>3420.5</v>
      </c>
    </row>
    <row r="23" spans="1:143" ht="20.100000000000001" customHeight="1" x14ac:dyDescent="0.3">
      <c r="A23" s="4" t="s">
        <v>164</v>
      </c>
      <c r="B23" s="3">
        <v>16090.7</v>
      </c>
      <c r="C23" s="3">
        <v>17208.900000000001</v>
      </c>
      <c r="D23" s="3">
        <v>17675.8</v>
      </c>
      <c r="E23" s="3">
        <v>18280.7</v>
      </c>
      <c r="F23" s="3">
        <v>19183.5</v>
      </c>
      <c r="G23" s="3">
        <v>19414.099999999999</v>
      </c>
      <c r="H23" s="3">
        <v>19107.3</v>
      </c>
      <c r="I23" s="3">
        <v>19583.599999999999</v>
      </c>
      <c r="J23" s="3">
        <v>19561.2</v>
      </c>
      <c r="K23" s="3">
        <v>19099.5</v>
      </c>
      <c r="L23" s="3">
        <v>18645.5</v>
      </c>
      <c r="M23" s="3">
        <v>18696.599999999999</v>
      </c>
      <c r="N23" s="3">
        <v>19780.8</v>
      </c>
      <c r="O23" s="3">
        <v>20647.099999999999</v>
      </c>
      <c r="P23" s="3">
        <v>21130.400000000001</v>
      </c>
      <c r="Q23" s="3">
        <v>21203</v>
      </c>
      <c r="R23" s="3">
        <v>22010.6</v>
      </c>
      <c r="S23" s="3">
        <v>21273.9</v>
      </c>
      <c r="T23" s="3">
        <v>21450.5</v>
      </c>
      <c r="U23" s="3">
        <v>21836.2</v>
      </c>
      <c r="V23" s="3">
        <v>21780.5</v>
      </c>
      <c r="W23" s="3">
        <v>22308.799999999999</v>
      </c>
      <c r="X23" s="3">
        <v>23292.9</v>
      </c>
      <c r="Y23" s="3">
        <v>23776</v>
      </c>
      <c r="Z23" s="3">
        <v>24128.3</v>
      </c>
      <c r="AA23" s="3">
        <v>23838.5</v>
      </c>
      <c r="AB23" s="3">
        <v>24417.599999999999</v>
      </c>
      <c r="AC23" s="3">
        <v>24660.2</v>
      </c>
      <c r="AD23" s="3">
        <v>24291.200000000001</v>
      </c>
      <c r="AE23" s="3">
        <v>24410.799999999999</v>
      </c>
      <c r="AF23" s="3">
        <v>24374.1</v>
      </c>
      <c r="AG23" s="3">
        <v>24844.5</v>
      </c>
      <c r="AH23" s="3">
        <v>23262.2</v>
      </c>
      <c r="AI23" s="3">
        <v>21909.1</v>
      </c>
      <c r="AJ23" s="3">
        <v>21167</v>
      </c>
      <c r="AK23" s="3">
        <v>20370.599999999999</v>
      </c>
      <c r="AL23" s="3">
        <v>20668.5</v>
      </c>
      <c r="AM23" s="3">
        <v>20661.099999999999</v>
      </c>
      <c r="AN23" s="3">
        <v>19768.2</v>
      </c>
      <c r="AO23" s="3">
        <v>19127</v>
      </c>
      <c r="AP23" s="3">
        <v>18239</v>
      </c>
      <c r="AQ23" s="3">
        <v>19514.900000000001</v>
      </c>
      <c r="AR23" s="3">
        <v>19770.2</v>
      </c>
      <c r="AS23" s="3">
        <v>18920.400000000001</v>
      </c>
      <c r="AT23" s="3">
        <v>18844.5</v>
      </c>
      <c r="AU23" s="3">
        <v>19745.599999999999</v>
      </c>
      <c r="AV23" s="3">
        <v>21520.5</v>
      </c>
      <c r="AW23" s="3">
        <v>20485.2</v>
      </c>
      <c r="AX23" s="3">
        <v>20522.3</v>
      </c>
      <c r="AY23" s="3">
        <v>20468.3</v>
      </c>
      <c r="AZ23" s="3">
        <v>20695.900000000001</v>
      </c>
      <c r="BA23" s="3">
        <v>21954.2</v>
      </c>
      <c r="BB23" s="3">
        <v>22426.1</v>
      </c>
      <c r="BC23" s="3">
        <v>22505.599999999999</v>
      </c>
      <c r="BD23" s="3">
        <v>22432.3</v>
      </c>
      <c r="BE23" s="3">
        <v>23741.200000000001</v>
      </c>
      <c r="BF23" s="3">
        <v>23642.5</v>
      </c>
      <c r="BG23" s="3">
        <v>23409.1</v>
      </c>
      <c r="BH23" s="3">
        <v>23025</v>
      </c>
      <c r="BI23" s="3">
        <v>22813.599999999999</v>
      </c>
      <c r="BJ23" s="3">
        <v>22765.200000000001</v>
      </c>
      <c r="BK23" s="3">
        <v>23958.9</v>
      </c>
      <c r="BL23" s="3">
        <v>23261.1</v>
      </c>
      <c r="BM23" s="3">
        <v>23015.200000000001</v>
      </c>
      <c r="BN23" s="3">
        <v>23092.5</v>
      </c>
      <c r="BO23" s="3">
        <v>23182.6</v>
      </c>
      <c r="BP23" s="3">
        <v>23520.3</v>
      </c>
      <c r="BQ23" s="3">
        <v>24056.5</v>
      </c>
      <c r="BR23" s="3">
        <v>24013.200000000001</v>
      </c>
      <c r="BS23" s="3">
        <v>23862.799999999999</v>
      </c>
      <c r="BT23" s="3">
        <v>23913.5</v>
      </c>
      <c r="BU23" s="3">
        <v>24460</v>
      </c>
      <c r="BV23" s="3">
        <v>24102.400000000001</v>
      </c>
      <c r="BW23" s="3">
        <v>23190.3</v>
      </c>
      <c r="BX23" s="3">
        <v>23222.400000000001</v>
      </c>
      <c r="BY23" s="3">
        <v>22616.9</v>
      </c>
      <c r="BZ23" s="3">
        <v>24150.799999999999</v>
      </c>
      <c r="CA23" s="3">
        <v>23935.3</v>
      </c>
      <c r="CB23" s="3">
        <v>23114.400000000001</v>
      </c>
      <c r="CC23" s="3">
        <v>23341.8</v>
      </c>
      <c r="CD23" s="3">
        <v>23552.5</v>
      </c>
      <c r="CE23" s="3">
        <v>23147.1</v>
      </c>
      <c r="CF23" s="3">
        <v>22339.200000000001</v>
      </c>
      <c r="CG23" s="3">
        <v>22059</v>
      </c>
      <c r="CH23" s="3">
        <v>21198.7</v>
      </c>
      <c r="CI23" s="3">
        <v>21569.599999999999</v>
      </c>
      <c r="CJ23" s="3">
        <v>21844.9</v>
      </c>
      <c r="CK23" s="3">
        <v>22138.6</v>
      </c>
      <c r="CL23" s="3">
        <v>21507.3</v>
      </c>
      <c r="CM23" s="3">
        <v>21469.5</v>
      </c>
      <c r="CN23" s="3">
        <v>21749.8</v>
      </c>
      <c r="CO23" s="3">
        <v>21695.5</v>
      </c>
      <c r="CP23" s="3">
        <v>22264.400000000001</v>
      </c>
      <c r="CQ23" s="3">
        <v>22600.5</v>
      </c>
      <c r="CR23" s="3">
        <v>22784</v>
      </c>
      <c r="CS23" s="3">
        <v>22610.9</v>
      </c>
      <c r="CT23" s="3">
        <v>22718.400000000001</v>
      </c>
      <c r="CU23" s="3">
        <v>22912</v>
      </c>
      <c r="CV23" s="3">
        <v>23244.400000000001</v>
      </c>
      <c r="CW23" s="3">
        <v>23090.400000000001</v>
      </c>
      <c r="CX23" s="3">
        <v>23305.5</v>
      </c>
      <c r="CY23" s="3">
        <v>23834.2</v>
      </c>
      <c r="CZ23" s="3">
        <v>25065.200000000001</v>
      </c>
      <c r="DA23" s="3">
        <v>25339.4</v>
      </c>
      <c r="DB23" s="3">
        <v>25710.1</v>
      </c>
      <c r="DC23" s="3">
        <v>26554.9</v>
      </c>
      <c r="DD23" s="3">
        <v>27721.3</v>
      </c>
      <c r="DE23" s="3">
        <v>27986.400000000001</v>
      </c>
      <c r="DF23" s="3">
        <v>28722.1</v>
      </c>
      <c r="DG23" s="3">
        <v>28653.599999999999</v>
      </c>
      <c r="DH23" s="3">
        <v>29183.1</v>
      </c>
      <c r="DI23" s="3">
        <v>28539</v>
      </c>
      <c r="DJ23" s="3">
        <v>29048.2</v>
      </c>
      <c r="DK23" s="3">
        <v>28492.2</v>
      </c>
      <c r="DL23" s="3">
        <v>27770.799999999999</v>
      </c>
      <c r="DM23" s="3">
        <v>27386.9</v>
      </c>
      <c r="DN23" s="3">
        <v>27126.7</v>
      </c>
      <c r="DO23" s="3">
        <v>28076.2</v>
      </c>
      <c r="DP23" s="3">
        <v>27530.5</v>
      </c>
      <c r="DQ23" s="3">
        <v>28010.400000000001</v>
      </c>
      <c r="DR23" s="3">
        <v>28050.799999999999</v>
      </c>
      <c r="DS23" s="3">
        <v>28015.9</v>
      </c>
      <c r="DT23" s="3">
        <v>27017.1</v>
      </c>
      <c r="DU23" s="3">
        <v>27171.599999999999</v>
      </c>
      <c r="DV23" s="3">
        <v>27390.1</v>
      </c>
      <c r="DW23" s="3">
        <v>27381.1</v>
      </c>
      <c r="DX23" s="3">
        <v>27008.5</v>
      </c>
      <c r="DY23" s="3">
        <v>27538.400000000001</v>
      </c>
      <c r="DZ23" s="3">
        <v>27231.200000000001</v>
      </c>
      <c r="EA23" s="3">
        <v>27227.599999999999</v>
      </c>
      <c r="EB23" s="3">
        <v>27705.599999999999</v>
      </c>
      <c r="EC23" s="3">
        <v>28090.5</v>
      </c>
      <c r="ED23" s="3">
        <v>27898.6</v>
      </c>
      <c r="EE23" s="3">
        <v>27259.8</v>
      </c>
      <c r="EF23" s="3">
        <v>27744.799999999999</v>
      </c>
      <c r="EG23" s="3">
        <v>26658.9</v>
      </c>
      <c r="EH23" s="3">
        <v>28210.1</v>
      </c>
      <c r="EI23" s="3">
        <v>26642.9</v>
      </c>
      <c r="EJ23" s="3">
        <v>25848.7</v>
      </c>
      <c r="EK23" s="3">
        <v>24719.7</v>
      </c>
      <c r="EL23" s="3">
        <v>24611.599999999999</v>
      </c>
      <c r="EM23" s="3">
        <v>23731.599999999999</v>
      </c>
    </row>
    <row r="24" spans="1:143" ht="20.100000000000001" customHeight="1" x14ac:dyDescent="0.3">
      <c r="A24" s="4" t="s">
        <v>165</v>
      </c>
      <c r="B24" s="3">
        <v>11606.5</v>
      </c>
      <c r="C24" s="3">
        <v>12376.5</v>
      </c>
      <c r="D24" s="3">
        <v>12531.3</v>
      </c>
      <c r="E24" s="3">
        <v>13067.7</v>
      </c>
      <c r="F24" s="3">
        <v>13282.2</v>
      </c>
      <c r="G24" s="3">
        <v>13153</v>
      </c>
      <c r="H24" s="3">
        <v>12571.9</v>
      </c>
      <c r="I24" s="3">
        <v>13655.1</v>
      </c>
      <c r="J24" s="3">
        <v>12883</v>
      </c>
      <c r="K24" s="3">
        <v>12001.1</v>
      </c>
      <c r="L24" s="3">
        <v>11831.1</v>
      </c>
      <c r="M24" s="3">
        <v>12028.4</v>
      </c>
      <c r="N24" s="3">
        <v>12822.8</v>
      </c>
      <c r="O24" s="3">
        <v>13527.3</v>
      </c>
      <c r="P24" s="3">
        <v>14103.7</v>
      </c>
      <c r="Q24" s="3">
        <v>14343.2</v>
      </c>
      <c r="R24" s="3">
        <v>14013.1</v>
      </c>
      <c r="S24" s="3">
        <v>13974.7</v>
      </c>
      <c r="T24" s="3">
        <v>14170.5</v>
      </c>
      <c r="U24" s="3">
        <v>14353.4</v>
      </c>
      <c r="V24" s="3">
        <v>14533.7</v>
      </c>
      <c r="W24" s="3">
        <v>15271.7</v>
      </c>
      <c r="X24" s="3">
        <v>15870.1</v>
      </c>
      <c r="Y24" s="3">
        <v>15707.5</v>
      </c>
      <c r="Z24" s="3">
        <v>15457.5</v>
      </c>
      <c r="AA24" s="3">
        <v>15300.1</v>
      </c>
      <c r="AB24" s="3">
        <v>15344.5</v>
      </c>
      <c r="AC24" s="3">
        <v>15023.2</v>
      </c>
      <c r="AD24" s="3">
        <v>14451.2</v>
      </c>
      <c r="AE24" s="3">
        <v>14951.1</v>
      </c>
      <c r="AF24" s="3">
        <v>14703</v>
      </c>
      <c r="AG24" s="3">
        <v>15156.6</v>
      </c>
      <c r="AH24" s="3">
        <v>13590.8</v>
      </c>
      <c r="AI24" s="3">
        <v>12897.5</v>
      </c>
      <c r="AJ24" s="3">
        <v>12163.8</v>
      </c>
      <c r="AK24" s="3">
        <v>11282.5</v>
      </c>
      <c r="AL24" s="3">
        <v>11434.8</v>
      </c>
      <c r="AM24" s="3">
        <v>10655.9</v>
      </c>
      <c r="AN24" s="3">
        <v>10291.200000000001</v>
      </c>
      <c r="AO24" s="3">
        <v>10073.4</v>
      </c>
      <c r="AP24" s="3">
        <v>9853.7000000000007</v>
      </c>
      <c r="AQ24" s="3">
        <v>10527.2</v>
      </c>
      <c r="AR24" s="3">
        <v>10519.1</v>
      </c>
      <c r="AS24" s="3">
        <v>10494.8</v>
      </c>
      <c r="AT24" s="3">
        <v>10495.9</v>
      </c>
      <c r="AU24" s="3">
        <v>11130.9</v>
      </c>
      <c r="AV24" s="3">
        <v>11623.8</v>
      </c>
      <c r="AW24" s="3">
        <v>12062</v>
      </c>
      <c r="AX24" s="3">
        <v>12361.9</v>
      </c>
      <c r="AY24" s="3">
        <v>12424</v>
      </c>
      <c r="AZ24" s="3">
        <v>12609.7</v>
      </c>
      <c r="BA24" s="3">
        <v>13382.1</v>
      </c>
      <c r="BB24" s="3">
        <v>14224.1</v>
      </c>
      <c r="BC24" s="3">
        <v>14130.8</v>
      </c>
      <c r="BD24" s="3">
        <v>14162.2</v>
      </c>
      <c r="BE24" s="3">
        <v>14996.7</v>
      </c>
      <c r="BF24" s="3">
        <v>15331.1</v>
      </c>
      <c r="BG24" s="3">
        <v>14849.5</v>
      </c>
      <c r="BH24" s="3">
        <v>14642</v>
      </c>
      <c r="BI24" s="3">
        <v>14480.7</v>
      </c>
      <c r="BJ24" s="3">
        <v>14318.6</v>
      </c>
      <c r="BK24" s="3">
        <v>15208.9</v>
      </c>
      <c r="BL24" s="3">
        <v>14682.6</v>
      </c>
      <c r="BM24" s="3">
        <v>14667.1</v>
      </c>
      <c r="BN24" s="3">
        <v>14756.3</v>
      </c>
      <c r="BO24" s="3">
        <v>14889.1</v>
      </c>
      <c r="BP24" s="3">
        <v>14984.4</v>
      </c>
      <c r="BQ24" s="3">
        <v>15264.2</v>
      </c>
      <c r="BR24" s="3">
        <v>15026.6</v>
      </c>
      <c r="BS24" s="3">
        <v>15090.3</v>
      </c>
      <c r="BT24" s="3">
        <v>15101</v>
      </c>
      <c r="BU24" s="3">
        <v>15674</v>
      </c>
      <c r="BV24" s="3">
        <v>15398.5</v>
      </c>
      <c r="BW24" s="3">
        <v>14500.2</v>
      </c>
      <c r="BX24" s="3">
        <v>14441.2</v>
      </c>
      <c r="BY24" s="3">
        <v>13121.2</v>
      </c>
      <c r="BZ24" s="3">
        <v>13486.1</v>
      </c>
      <c r="CA24" s="3">
        <v>13727.8</v>
      </c>
      <c r="CB24" s="3">
        <v>13703.9</v>
      </c>
      <c r="CC24" s="3">
        <v>13421</v>
      </c>
      <c r="CD24" s="3">
        <v>13887.8</v>
      </c>
      <c r="CE24" s="3">
        <v>13780.2</v>
      </c>
      <c r="CF24" s="3">
        <v>13325.4</v>
      </c>
      <c r="CG24" s="3">
        <v>13249.2</v>
      </c>
      <c r="CH24" s="3">
        <v>12475</v>
      </c>
      <c r="CI24" s="3">
        <v>13032.3</v>
      </c>
      <c r="CJ24" s="3">
        <v>13327</v>
      </c>
      <c r="CK24" s="3">
        <v>13234.2</v>
      </c>
      <c r="CL24" s="3">
        <v>12958.7</v>
      </c>
      <c r="CM24" s="3">
        <v>12880.4</v>
      </c>
      <c r="CN24" s="3">
        <v>13201.8</v>
      </c>
      <c r="CO24" s="3">
        <v>13134.3</v>
      </c>
      <c r="CP24" s="3">
        <v>13905.5</v>
      </c>
      <c r="CQ24" s="3">
        <v>14208.6</v>
      </c>
      <c r="CR24" s="3">
        <v>14157.9</v>
      </c>
      <c r="CS24" s="3">
        <v>14467.7</v>
      </c>
      <c r="CT24" s="3">
        <v>14565.8</v>
      </c>
      <c r="CU24" s="3">
        <v>14911.5</v>
      </c>
      <c r="CV24" s="3">
        <v>15022.1</v>
      </c>
      <c r="CW24" s="3">
        <v>14840.2</v>
      </c>
      <c r="CX24" s="3">
        <v>14951.2</v>
      </c>
      <c r="CY24" s="3">
        <v>15478.3</v>
      </c>
      <c r="CZ24" s="3">
        <v>16640</v>
      </c>
      <c r="DA24" s="3">
        <v>17156.400000000001</v>
      </c>
      <c r="DB24" s="3">
        <v>17733</v>
      </c>
      <c r="DC24" s="3">
        <v>18732.900000000001</v>
      </c>
      <c r="DD24" s="3">
        <v>19504.2</v>
      </c>
      <c r="DE24" s="3">
        <v>20003.400000000001</v>
      </c>
      <c r="DF24" s="3">
        <v>20880.099999999999</v>
      </c>
      <c r="DG24" s="3">
        <v>20932.7</v>
      </c>
      <c r="DH24" s="3">
        <v>21572.5</v>
      </c>
      <c r="DI24" s="3">
        <v>21032.400000000001</v>
      </c>
      <c r="DJ24" s="3">
        <v>21379.200000000001</v>
      </c>
      <c r="DK24" s="3">
        <v>21181.7</v>
      </c>
      <c r="DL24" s="3">
        <v>20605.599999999999</v>
      </c>
      <c r="DM24" s="3">
        <v>20400.5</v>
      </c>
      <c r="DN24" s="3">
        <v>20045.7</v>
      </c>
      <c r="DO24" s="3">
        <v>20123.7</v>
      </c>
      <c r="DP24" s="3">
        <v>19520.3</v>
      </c>
      <c r="DQ24" s="3">
        <v>19655.900000000001</v>
      </c>
      <c r="DR24" s="3">
        <v>19649.400000000001</v>
      </c>
      <c r="DS24" s="3">
        <v>19550.2</v>
      </c>
      <c r="DT24" s="3">
        <v>19132</v>
      </c>
      <c r="DU24" s="3">
        <v>19359.099999999999</v>
      </c>
      <c r="DV24" s="3">
        <v>19387.099999999999</v>
      </c>
      <c r="DW24" s="3">
        <v>19560.599999999999</v>
      </c>
      <c r="DX24" s="3">
        <v>19671.900000000001</v>
      </c>
      <c r="DY24" s="3">
        <v>20171.400000000001</v>
      </c>
      <c r="DZ24" s="3">
        <v>20191.2</v>
      </c>
      <c r="EA24" s="3">
        <v>20319.8</v>
      </c>
      <c r="EB24" s="3">
        <v>20781.900000000001</v>
      </c>
      <c r="EC24" s="3">
        <v>20846.599999999999</v>
      </c>
      <c r="ED24" s="3">
        <v>20589.5</v>
      </c>
      <c r="EE24" s="3">
        <v>20031</v>
      </c>
      <c r="EF24" s="3">
        <v>20145.900000000001</v>
      </c>
      <c r="EG24" s="3">
        <v>19026.7</v>
      </c>
      <c r="EH24" s="3">
        <v>20234.099999999999</v>
      </c>
      <c r="EI24" s="3">
        <v>19078.7</v>
      </c>
      <c r="EJ24" s="3">
        <v>18207</v>
      </c>
      <c r="EK24" s="3">
        <v>17695.599999999999</v>
      </c>
      <c r="EL24" s="3">
        <v>17321</v>
      </c>
      <c r="EM24" s="3">
        <v>16893.400000000001</v>
      </c>
    </row>
    <row r="25" spans="1:143" ht="20.100000000000001" customHeight="1" x14ac:dyDescent="0.3">
      <c r="A25" s="4" t="s">
        <v>166</v>
      </c>
      <c r="B25" s="3">
        <v>5843.7</v>
      </c>
      <c r="C25" s="3">
        <v>6300.5</v>
      </c>
      <c r="D25" s="3">
        <v>6337</v>
      </c>
      <c r="E25" s="3">
        <v>6689.7</v>
      </c>
      <c r="F25" s="3">
        <v>7076.9</v>
      </c>
      <c r="G25" s="3">
        <v>6824.8</v>
      </c>
      <c r="H25" s="3">
        <v>6388.1</v>
      </c>
      <c r="I25" s="3">
        <v>7236.7</v>
      </c>
      <c r="J25" s="3">
        <v>6308.2</v>
      </c>
      <c r="K25" s="3">
        <v>6073.3</v>
      </c>
      <c r="L25" s="3">
        <v>6175.8</v>
      </c>
      <c r="M25" s="3">
        <v>6350.5</v>
      </c>
      <c r="N25" s="3">
        <v>6638.7</v>
      </c>
      <c r="O25" s="3">
        <v>6640.5</v>
      </c>
      <c r="P25" s="3">
        <v>6975.9</v>
      </c>
      <c r="Q25" s="3">
        <v>7105.8</v>
      </c>
      <c r="R25" s="3">
        <v>6850.8</v>
      </c>
      <c r="S25" s="3">
        <v>6669.3</v>
      </c>
      <c r="T25" s="3">
        <v>6680.3</v>
      </c>
      <c r="U25" s="3">
        <v>6694.2</v>
      </c>
      <c r="V25" s="3">
        <v>6913.5</v>
      </c>
      <c r="W25" s="3">
        <v>7241.1</v>
      </c>
      <c r="X25" s="3">
        <v>7349.1</v>
      </c>
      <c r="Y25" s="3">
        <v>7479.1</v>
      </c>
      <c r="Z25" s="3">
        <v>7340.2</v>
      </c>
      <c r="AA25" s="3">
        <v>7220.9</v>
      </c>
      <c r="AB25" s="3">
        <v>7314</v>
      </c>
      <c r="AC25" s="3">
        <v>6972.8</v>
      </c>
      <c r="AD25" s="3">
        <v>6579.7</v>
      </c>
      <c r="AE25" s="3">
        <v>6814.4</v>
      </c>
      <c r="AF25" s="3">
        <v>6520.1</v>
      </c>
      <c r="AG25" s="3">
        <v>6955.4</v>
      </c>
      <c r="AH25" s="3">
        <v>6031.6</v>
      </c>
      <c r="AI25" s="3">
        <v>6041.4</v>
      </c>
      <c r="AJ25" s="3">
        <v>5852.6</v>
      </c>
      <c r="AK25" s="3">
        <v>5583.3</v>
      </c>
      <c r="AL25" s="3">
        <v>5505.5</v>
      </c>
      <c r="AM25" s="3">
        <v>5245.7</v>
      </c>
      <c r="AN25" s="3">
        <v>5062.3999999999996</v>
      </c>
      <c r="AO25" s="3">
        <v>4910.3</v>
      </c>
      <c r="AP25" s="3">
        <v>4470.5</v>
      </c>
      <c r="AQ25" s="3">
        <v>4644.7</v>
      </c>
      <c r="AR25" s="3">
        <v>4621.1000000000004</v>
      </c>
      <c r="AS25" s="3">
        <v>4540.3999999999996</v>
      </c>
      <c r="AT25" s="3">
        <v>4478.1000000000004</v>
      </c>
      <c r="AU25" s="3">
        <v>4875.5</v>
      </c>
      <c r="AV25" s="3">
        <v>5287.5</v>
      </c>
      <c r="AW25" s="3">
        <v>5803.7</v>
      </c>
      <c r="AX25" s="3">
        <v>5922.6</v>
      </c>
      <c r="AY25" s="3">
        <v>5763.9</v>
      </c>
      <c r="AZ25" s="3">
        <v>5627.3</v>
      </c>
      <c r="BA25" s="3">
        <v>5873.5</v>
      </c>
      <c r="BB25" s="3">
        <v>6722.6</v>
      </c>
      <c r="BC25" s="3">
        <v>6538.4</v>
      </c>
      <c r="BD25" s="3">
        <v>6685.1</v>
      </c>
      <c r="BE25" s="3">
        <v>6902.7</v>
      </c>
      <c r="BF25" s="3">
        <v>7200</v>
      </c>
      <c r="BG25" s="3">
        <v>6939.1</v>
      </c>
      <c r="BH25" s="3">
        <v>6999.4</v>
      </c>
      <c r="BI25" s="3">
        <v>6974.2</v>
      </c>
      <c r="BJ25" s="3">
        <v>6681.8</v>
      </c>
      <c r="BK25" s="3">
        <v>7207.8</v>
      </c>
      <c r="BL25" s="3">
        <v>7080.1</v>
      </c>
      <c r="BM25" s="3">
        <v>7118.2</v>
      </c>
      <c r="BN25" s="3">
        <v>6907.1</v>
      </c>
      <c r="BO25" s="3">
        <v>6953</v>
      </c>
      <c r="BP25" s="3">
        <v>6916.5</v>
      </c>
      <c r="BQ25" s="3">
        <v>6957.4</v>
      </c>
      <c r="BR25" s="3">
        <v>7114.1</v>
      </c>
      <c r="BS25" s="3">
        <v>6993</v>
      </c>
      <c r="BT25" s="3">
        <v>6898.9</v>
      </c>
      <c r="BU25" s="3">
        <v>7166</v>
      </c>
      <c r="BV25" s="3">
        <v>6936.9</v>
      </c>
      <c r="BW25" s="3">
        <v>6512.1</v>
      </c>
      <c r="BX25" s="3">
        <v>6493.3</v>
      </c>
      <c r="BY25" s="3">
        <v>5342.5</v>
      </c>
      <c r="BZ25" s="3">
        <v>5857</v>
      </c>
      <c r="CA25" s="3">
        <v>6026.8</v>
      </c>
      <c r="CB25" s="3">
        <v>5944.3</v>
      </c>
      <c r="CC25" s="3">
        <v>5505.9</v>
      </c>
      <c r="CD25" s="3">
        <v>5704.8</v>
      </c>
      <c r="CE25" s="3">
        <v>5341.7</v>
      </c>
      <c r="CF25" s="3">
        <v>4901.2</v>
      </c>
      <c r="CG25" s="3">
        <v>4647.2</v>
      </c>
      <c r="CH25" s="3">
        <v>4209</v>
      </c>
      <c r="CI25" s="3">
        <v>4345.5</v>
      </c>
      <c r="CJ25" s="3">
        <v>4543.3999999999996</v>
      </c>
      <c r="CK25" s="3">
        <v>4716.3</v>
      </c>
      <c r="CL25" s="3">
        <v>4558.3999999999996</v>
      </c>
      <c r="CM25" s="3">
        <v>4583.3</v>
      </c>
      <c r="CN25" s="3">
        <v>4811.7</v>
      </c>
      <c r="CO25" s="3">
        <v>4992.3</v>
      </c>
      <c r="CP25" s="3">
        <v>5343.6</v>
      </c>
      <c r="CQ25" s="3">
        <v>5543.3</v>
      </c>
      <c r="CR25" s="3">
        <v>5664.1</v>
      </c>
      <c r="CS25" s="3">
        <v>5862.4</v>
      </c>
      <c r="CT25" s="3">
        <v>6072</v>
      </c>
      <c r="CU25" s="3">
        <v>6252.3</v>
      </c>
      <c r="CV25" s="3">
        <v>6129.5</v>
      </c>
      <c r="CW25" s="3">
        <v>6072.2</v>
      </c>
      <c r="CX25" s="3">
        <v>6379.8</v>
      </c>
      <c r="CY25" s="3">
        <v>6707.6</v>
      </c>
      <c r="CZ25" s="3">
        <v>7475.7</v>
      </c>
      <c r="DA25" s="3">
        <v>7960.2</v>
      </c>
      <c r="DB25" s="3">
        <v>8381.1</v>
      </c>
      <c r="DC25" s="3">
        <v>9098.2000000000007</v>
      </c>
      <c r="DD25" s="3">
        <v>9489.2000000000007</v>
      </c>
      <c r="DE25" s="3">
        <v>9856</v>
      </c>
      <c r="DF25" s="3">
        <v>10443.1</v>
      </c>
      <c r="DG25" s="3">
        <v>10383.5</v>
      </c>
      <c r="DH25" s="3">
        <v>10552</v>
      </c>
      <c r="DI25" s="3">
        <v>10484</v>
      </c>
      <c r="DJ25" s="3">
        <v>10795.7</v>
      </c>
      <c r="DK25" s="3">
        <v>10732.7</v>
      </c>
      <c r="DL25" s="3">
        <v>10619</v>
      </c>
      <c r="DM25" s="3">
        <v>10064.5</v>
      </c>
      <c r="DN25" s="3">
        <v>9653.2000000000007</v>
      </c>
      <c r="DO25" s="3">
        <v>9579.2000000000007</v>
      </c>
      <c r="DP25" s="3">
        <v>9032.6</v>
      </c>
      <c r="DQ25" s="3">
        <v>8866.9</v>
      </c>
      <c r="DR25" s="3">
        <v>8986.7999999999993</v>
      </c>
      <c r="DS25" s="3">
        <v>9100.2999999999993</v>
      </c>
      <c r="DT25" s="3">
        <v>8997.4</v>
      </c>
      <c r="DU25" s="3">
        <v>8881.9</v>
      </c>
      <c r="DV25" s="3">
        <v>8594</v>
      </c>
      <c r="DW25" s="3">
        <v>8548.2999999999993</v>
      </c>
      <c r="DX25" s="3">
        <v>8760.9</v>
      </c>
      <c r="DY25" s="3">
        <v>9216.1</v>
      </c>
      <c r="DZ25" s="3">
        <v>8743.2000000000007</v>
      </c>
      <c r="EA25" s="3">
        <v>8974.1</v>
      </c>
      <c r="EB25" s="3">
        <v>9099.6</v>
      </c>
      <c r="EC25" s="3">
        <v>9141.5</v>
      </c>
      <c r="ED25" s="3">
        <v>9093.2000000000007</v>
      </c>
      <c r="EE25" s="3">
        <v>8812.7000000000007</v>
      </c>
      <c r="EF25" s="3">
        <v>8724.5</v>
      </c>
      <c r="EG25" s="3">
        <v>8243.4</v>
      </c>
      <c r="EH25" s="3">
        <v>8727.1</v>
      </c>
      <c r="EI25" s="3">
        <v>8216.2000000000007</v>
      </c>
      <c r="EJ25" s="3">
        <v>7661.5</v>
      </c>
      <c r="EK25" s="3">
        <v>7387.5</v>
      </c>
      <c r="EL25" s="3">
        <v>6945.3</v>
      </c>
      <c r="EM25" s="3">
        <v>6779.8</v>
      </c>
    </row>
    <row r="26" spans="1:143" ht="20.100000000000001" customHeight="1" x14ac:dyDescent="0.3">
      <c r="A26" s="4" t="s">
        <v>167</v>
      </c>
      <c r="B26" s="3">
        <v>4552.8</v>
      </c>
      <c r="C26" s="3">
        <v>4747.5</v>
      </c>
      <c r="D26" s="3">
        <v>4799</v>
      </c>
      <c r="E26" s="3">
        <v>4994.1000000000004</v>
      </c>
      <c r="F26" s="3">
        <v>4859.6000000000004</v>
      </c>
      <c r="G26" s="3">
        <v>4902</v>
      </c>
      <c r="H26" s="3">
        <v>4698.8999999999996</v>
      </c>
      <c r="I26" s="3">
        <v>4914.3999999999996</v>
      </c>
      <c r="J26" s="3">
        <v>5069.8</v>
      </c>
      <c r="K26" s="3">
        <v>4356.7</v>
      </c>
      <c r="L26" s="3">
        <v>4023.3</v>
      </c>
      <c r="M26" s="3">
        <v>3997.1</v>
      </c>
      <c r="N26" s="3">
        <v>4483.8</v>
      </c>
      <c r="O26" s="3">
        <v>5127.8</v>
      </c>
      <c r="P26" s="3">
        <v>5336.2</v>
      </c>
      <c r="Q26" s="3">
        <v>5418.5</v>
      </c>
      <c r="R26" s="3">
        <v>5291.4</v>
      </c>
      <c r="S26" s="3">
        <v>5358.2</v>
      </c>
      <c r="T26" s="3">
        <v>5537.2</v>
      </c>
      <c r="U26" s="3">
        <v>5680.3</v>
      </c>
      <c r="V26" s="3">
        <v>5693.4</v>
      </c>
      <c r="W26" s="3">
        <v>6033</v>
      </c>
      <c r="X26" s="3">
        <v>6469</v>
      </c>
      <c r="Y26" s="3">
        <v>6129.2</v>
      </c>
      <c r="Z26" s="3">
        <v>6044.8</v>
      </c>
      <c r="AA26" s="3">
        <v>5923.3</v>
      </c>
      <c r="AB26" s="3">
        <v>5859.5</v>
      </c>
      <c r="AC26" s="3">
        <v>5815</v>
      </c>
      <c r="AD26" s="3">
        <v>5628.9</v>
      </c>
      <c r="AE26" s="3">
        <v>5835.6</v>
      </c>
      <c r="AF26" s="3">
        <v>5913.5</v>
      </c>
      <c r="AG26" s="3">
        <v>5912</v>
      </c>
      <c r="AH26" s="3">
        <v>5774.9</v>
      </c>
      <c r="AI26" s="3">
        <v>5032.7</v>
      </c>
      <c r="AJ26" s="3">
        <v>4485.2</v>
      </c>
      <c r="AK26" s="3">
        <v>3902</v>
      </c>
      <c r="AL26" s="3">
        <v>4055</v>
      </c>
      <c r="AM26" s="3">
        <v>3568.3</v>
      </c>
      <c r="AN26" s="3">
        <v>3428.1</v>
      </c>
      <c r="AO26" s="3">
        <v>3387.9</v>
      </c>
      <c r="AP26" s="3">
        <v>3728.4</v>
      </c>
      <c r="AQ26" s="3">
        <v>4125.3999999999996</v>
      </c>
      <c r="AR26" s="3">
        <v>4172</v>
      </c>
      <c r="AS26" s="3">
        <v>4212.8</v>
      </c>
      <c r="AT26" s="3">
        <v>4235.6000000000004</v>
      </c>
      <c r="AU26" s="3">
        <v>4412.8</v>
      </c>
      <c r="AV26" s="3">
        <v>4495.3</v>
      </c>
      <c r="AW26" s="3">
        <v>4452.6000000000004</v>
      </c>
      <c r="AX26" s="3">
        <v>4730.2</v>
      </c>
      <c r="AY26" s="3">
        <v>4976.3</v>
      </c>
      <c r="AZ26" s="3">
        <v>5357.7</v>
      </c>
      <c r="BA26" s="3">
        <v>5878.3</v>
      </c>
      <c r="BB26" s="3">
        <v>5830.1</v>
      </c>
      <c r="BC26" s="3">
        <v>5885.8</v>
      </c>
      <c r="BD26" s="3">
        <v>5969.6</v>
      </c>
      <c r="BE26" s="3">
        <v>6506</v>
      </c>
      <c r="BF26" s="3">
        <v>6523.4</v>
      </c>
      <c r="BG26" s="3">
        <v>6399.8</v>
      </c>
      <c r="BH26" s="3">
        <v>6179.3</v>
      </c>
      <c r="BI26" s="3">
        <v>6072</v>
      </c>
      <c r="BJ26" s="3">
        <v>6122.5</v>
      </c>
      <c r="BK26" s="3">
        <v>6484.1</v>
      </c>
      <c r="BL26" s="3">
        <v>6160.8</v>
      </c>
      <c r="BM26" s="3">
        <v>6117</v>
      </c>
      <c r="BN26" s="3">
        <v>6434.2</v>
      </c>
      <c r="BO26" s="3">
        <v>6475.5</v>
      </c>
      <c r="BP26" s="3">
        <v>6512</v>
      </c>
      <c r="BQ26" s="3">
        <v>6804.9</v>
      </c>
      <c r="BR26" s="3">
        <v>6447.6</v>
      </c>
      <c r="BS26" s="3">
        <v>6662.2</v>
      </c>
      <c r="BT26" s="3">
        <v>6763.7</v>
      </c>
      <c r="BU26" s="3">
        <v>7093.8</v>
      </c>
      <c r="BV26" s="3">
        <v>7068.5</v>
      </c>
      <c r="BW26" s="3">
        <v>6615.4</v>
      </c>
      <c r="BX26" s="3">
        <v>6658.4</v>
      </c>
      <c r="BY26" s="3">
        <v>6508.6</v>
      </c>
      <c r="BZ26" s="3">
        <v>6397</v>
      </c>
      <c r="CA26" s="3">
        <v>6412.9</v>
      </c>
      <c r="CB26" s="3">
        <v>6470.4</v>
      </c>
      <c r="CC26" s="3">
        <v>6646.9</v>
      </c>
      <c r="CD26" s="3">
        <v>6894.1</v>
      </c>
      <c r="CE26" s="3">
        <v>7152.1</v>
      </c>
      <c r="CF26" s="3">
        <v>7119.8</v>
      </c>
      <c r="CG26" s="3">
        <v>7264</v>
      </c>
      <c r="CH26" s="3">
        <v>6967</v>
      </c>
      <c r="CI26" s="3">
        <v>7314.6</v>
      </c>
      <c r="CJ26" s="3">
        <v>7387.4</v>
      </c>
      <c r="CK26" s="3">
        <v>7150.9</v>
      </c>
      <c r="CL26" s="3">
        <v>7098.5</v>
      </c>
      <c r="CM26" s="3">
        <v>6985.1</v>
      </c>
      <c r="CN26" s="3">
        <v>7060.6</v>
      </c>
      <c r="CO26" s="3">
        <v>6816.1</v>
      </c>
      <c r="CP26" s="3">
        <v>7297</v>
      </c>
      <c r="CQ26" s="3">
        <v>7377.9</v>
      </c>
      <c r="CR26" s="3">
        <v>7222.7</v>
      </c>
      <c r="CS26" s="3">
        <v>7272.7</v>
      </c>
      <c r="CT26" s="3">
        <v>7201.3</v>
      </c>
      <c r="CU26" s="3">
        <v>7386.2</v>
      </c>
      <c r="CV26" s="3">
        <v>7584.4</v>
      </c>
      <c r="CW26" s="3">
        <v>7476.4</v>
      </c>
      <c r="CX26" s="3">
        <v>7286.6</v>
      </c>
      <c r="CY26" s="3">
        <v>7447.7</v>
      </c>
      <c r="CZ26" s="3">
        <v>7813.1</v>
      </c>
      <c r="DA26" s="3">
        <v>7884.9</v>
      </c>
      <c r="DB26" s="3">
        <v>7981.3</v>
      </c>
      <c r="DC26" s="3">
        <v>8151.1</v>
      </c>
      <c r="DD26" s="3">
        <v>8483</v>
      </c>
      <c r="DE26" s="3">
        <v>8575.9</v>
      </c>
      <c r="DF26" s="3">
        <v>8881.5</v>
      </c>
      <c r="DG26" s="3">
        <v>9011.2999999999993</v>
      </c>
      <c r="DH26" s="3">
        <v>9371.2999999999993</v>
      </c>
      <c r="DI26" s="3">
        <v>9017.5</v>
      </c>
      <c r="DJ26" s="3">
        <v>8913.6</v>
      </c>
      <c r="DK26" s="3">
        <v>8779.2000000000007</v>
      </c>
      <c r="DL26" s="3">
        <v>8280.9</v>
      </c>
      <c r="DM26" s="3">
        <v>8650.7000000000007</v>
      </c>
      <c r="DN26" s="3">
        <v>8633.4</v>
      </c>
      <c r="DO26" s="3">
        <v>8728</v>
      </c>
      <c r="DP26" s="3">
        <v>8718.5</v>
      </c>
      <c r="DQ26" s="3">
        <v>8971.4</v>
      </c>
      <c r="DR26" s="3">
        <v>8853.9</v>
      </c>
      <c r="DS26" s="3">
        <v>8674.7999999999993</v>
      </c>
      <c r="DT26" s="3">
        <v>8308.7000000000007</v>
      </c>
      <c r="DU26" s="3">
        <v>8470.2000000000007</v>
      </c>
      <c r="DV26" s="3">
        <v>8767.5</v>
      </c>
      <c r="DW26" s="3">
        <v>8915.5</v>
      </c>
      <c r="DX26" s="3">
        <v>8811.6</v>
      </c>
      <c r="DY26" s="3">
        <v>8839.5</v>
      </c>
      <c r="DZ26" s="3">
        <v>9170</v>
      </c>
      <c r="EA26" s="3">
        <v>9162</v>
      </c>
      <c r="EB26" s="3">
        <v>9538.6</v>
      </c>
      <c r="EC26" s="3">
        <v>9596.6</v>
      </c>
      <c r="ED26" s="3">
        <v>9379.9</v>
      </c>
      <c r="EE26" s="3">
        <v>9149.1</v>
      </c>
      <c r="EF26" s="3">
        <v>9368.2000000000007</v>
      </c>
      <c r="EG26" s="3">
        <v>8742.7999999999993</v>
      </c>
      <c r="EH26" s="3">
        <v>9417.6</v>
      </c>
      <c r="EI26" s="3">
        <v>8835.5</v>
      </c>
      <c r="EJ26" s="3">
        <v>8494.4</v>
      </c>
      <c r="EK26" s="3">
        <v>8251</v>
      </c>
      <c r="EL26" s="3">
        <v>8349.1</v>
      </c>
      <c r="EM26" s="3">
        <v>8110.3</v>
      </c>
    </row>
    <row r="27" spans="1:143" ht="20.100000000000001" customHeight="1" x14ac:dyDescent="0.3">
      <c r="A27" s="4" t="s">
        <v>168</v>
      </c>
      <c r="B27" s="3">
        <v>1269.2</v>
      </c>
      <c r="C27" s="3">
        <v>1382.2</v>
      </c>
      <c r="D27" s="3">
        <v>1447.4</v>
      </c>
      <c r="E27" s="3">
        <v>1439.8</v>
      </c>
      <c r="F27" s="3">
        <v>1396.8</v>
      </c>
      <c r="G27" s="3">
        <v>1480.1</v>
      </c>
      <c r="H27" s="3">
        <v>1537.9</v>
      </c>
      <c r="I27" s="3">
        <v>1555.2</v>
      </c>
      <c r="J27" s="3">
        <v>1570.5</v>
      </c>
      <c r="K27" s="3">
        <v>1627.5</v>
      </c>
      <c r="L27" s="3">
        <v>1682.5</v>
      </c>
      <c r="M27" s="3">
        <v>1730</v>
      </c>
      <c r="N27" s="3">
        <v>1757.7</v>
      </c>
      <c r="O27" s="3">
        <v>1824.7</v>
      </c>
      <c r="P27" s="3">
        <v>1857.8</v>
      </c>
      <c r="Q27" s="3">
        <v>1885.9</v>
      </c>
      <c r="R27" s="3">
        <v>1940.1</v>
      </c>
      <c r="S27" s="3">
        <v>2020.8</v>
      </c>
      <c r="T27" s="3">
        <v>2026.2</v>
      </c>
      <c r="U27" s="3">
        <v>2053.1</v>
      </c>
      <c r="V27" s="3">
        <v>1996.1</v>
      </c>
      <c r="W27" s="3">
        <v>2068.1999999999998</v>
      </c>
      <c r="X27" s="3">
        <v>2123.5</v>
      </c>
      <c r="Y27" s="3">
        <v>2175.4</v>
      </c>
      <c r="Z27" s="3">
        <v>2148.4</v>
      </c>
      <c r="AA27" s="3">
        <v>2239.9</v>
      </c>
      <c r="AB27" s="3">
        <v>2256.1999999999998</v>
      </c>
      <c r="AC27" s="3">
        <v>2328.1</v>
      </c>
      <c r="AD27" s="3">
        <v>2338.6999999999998</v>
      </c>
      <c r="AE27" s="3">
        <v>2399.1</v>
      </c>
      <c r="AF27" s="3">
        <v>2365</v>
      </c>
      <c r="AG27" s="3">
        <v>2385</v>
      </c>
      <c r="AH27" s="3">
        <v>1840</v>
      </c>
      <c r="AI27" s="3">
        <v>1893.7</v>
      </c>
      <c r="AJ27" s="3">
        <v>1905.1</v>
      </c>
      <c r="AK27" s="3">
        <v>1883.3</v>
      </c>
      <c r="AL27" s="3">
        <v>1951.4</v>
      </c>
      <c r="AM27" s="3">
        <v>1919.1</v>
      </c>
      <c r="AN27" s="3">
        <v>1876.1</v>
      </c>
      <c r="AO27" s="3">
        <v>1849</v>
      </c>
      <c r="AP27" s="3">
        <v>1718.3</v>
      </c>
      <c r="AQ27" s="3">
        <v>1822.3</v>
      </c>
      <c r="AR27" s="3">
        <v>1789.2</v>
      </c>
      <c r="AS27" s="3">
        <v>1804.9</v>
      </c>
      <c r="AT27" s="3">
        <v>1846.6</v>
      </c>
      <c r="AU27" s="3">
        <v>1910</v>
      </c>
      <c r="AV27" s="3">
        <v>1909.8</v>
      </c>
      <c r="AW27" s="3">
        <v>1876.2</v>
      </c>
      <c r="AX27" s="3">
        <v>1768.4</v>
      </c>
      <c r="AY27" s="3">
        <v>1738.1</v>
      </c>
      <c r="AZ27" s="3">
        <v>1670.4</v>
      </c>
      <c r="BA27" s="3">
        <v>1670.4</v>
      </c>
      <c r="BB27" s="3">
        <v>1714.8</v>
      </c>
      <c r="BC27" s="3">
        <v>1751.1</v>
      </c>
      <c r="BD27" s="3">
        <v>1536.8</v>
      </c>
      <c r="BE27" s="3">
        <v>1614.7</v>
      </c>
      <c r="BF27" s="3">
        <v>1634.2</v>
      </c>
      <c r="BG27" s="3">
        <v>1530.4</v>
      </c>
      <c r="BH27" s="3">
        <v>1483.2</v>
      </c>
      <c r="BI27" s="3">
        <v>1453.7</v>
      </c>
      <c r="BJ27" s="3">
        <v>1538.8</v>
      </c>
      <c r="BK27" s="3">
        <v>1536.6</v>
      </c>
      <c r="BL27" s="3">
        <v>1460.4</v>
      </c>
      <c r="BM27" s="3">
        <v>1450.8</v>
      </c>
      <c r="BN27" s="3">
        <v>1427.2</v>
      </c>
      <c r="BO27" s="3">
        <v>1475.6</v>
      </c>
      <c r="BP27" s="3">
        <v>1577.5</v>
      </c>
      <c r="BQ27" s="3">
        <v>1514.7</v>
      </c>
      <c r="BR27" s="3">
        <v>1480.8</v>
      </c>
      <c r="BS27" s="3">
        <v>1445.2</v>
      </c>
      <c r="BT27" s="3">
        <v>1447.2</v>
      </c>
      <c r="BU27" s="3">
        <v>1416.1</v>
      </c>
      <c r="BV27" s="3">
        <v>1394.2</v>
      </c>
      <c r="BW27" s="3">
        <v>1378.9</v>
      </c>
      <c r="BX27" s="3">
        <v>1288.8</v>
      </c>
      <c r="BY27" s="3">
        <v>1270.4000000000001</v>
      </c>
      <c r="BZ27" s="3">
        <v>1230.5999999999999</v>
      </c>
      <c r="CA27" s="3">
        <v>1291</v>
      </c>
      <c r="CB27" s="3">
        <v>1291.0999999999999</v>
      </c>
      <c r="CC27" s="3">
        <v>1264.8</v>
      </c>
      <c r="CD27" s="3">
        <v>1283.8</v>
      </c>
      <c r="CE27" s="3">
        <v>1276.9000000000001</v>
      </c>
      <c r="CF27" s="3">
        <v>1296.5999999999999</v>
      </c>
      <c r="CG27" s="3">
        <v>1330.4</v>
      </c>
      <c r="CH27" s="3">
        <v>1289.9000000000001</v>
      </c>
      <c r="CI27" s="3">
        <v>1363</v>
      </c>
      <c r="CJ27" s="3">
        <v>1388.3</v>
      </c>
      <c r="CK27" s="3">
        <v>1361.8</v>
      </c>
      <c r="CL27" s="3">
        <v>1292.5</v>
      </c>
      <c r="CM27" s="3">
        <v>1305.5</v>
      </c>
      <c r="CN27" s="3">
        <v>1324</v>
      </c>
      <c r="CO27" s="3">
        <v>1325.4</v>
      </c>
      <c r="CP27" s="3">
        <v>1254.0999999999999</v>
      </c>
      <c r="CQ27" s="3">
        <v>1277.9000000000001</v>
      </c>
      <c r="CR27" s="3">
        <v>1263.8</v>
      </c>
      <c r="CS27" s="3">
        <v>1329.7</v>
      </c>
      <c r="CT27" s="3">
        <v>1288.7</v>
      </c>
      <c r="CU27" s="3">
        <v>1266.4000000000001</v>
      </c>
      <c r="CV27" s="3">
        <v>1300</v>
      </c>
      <c r="CW27" s="3">
        <v>1283.7</v>
      </c>
      <c r="CX27" s="3">
        <v>1280.7</v>
      </c>
      <c r="CY27" s="3">
        <v>1320.1</v>
      </c>
      <c r="CZ27" s="3">
        <v>1348.7</v>
      </c>
      <c r="DA27" s="3">
        <v>1308.3</v>
      </c>
      <c r="DB27" s="3">
        <v>1367.8</v>
      </c>
      <c r="DC27" s="3">
        <v>1484.8</v>
      </c>
      <c r="DD27" s="3">
        <v>1532.9</v>
      </c>
      <c r="DE27" s="3">
        <v>1573.5</v>
      </c>
      <c r="DF27" s="3">
        <v>1555.3</v>
      </c>
      <c r="DG27" s="3">
        <v>1536.7</v>
      </c>
      <c r="DH27" s="3">
        <v>1649</v>
      </c>
      <c r="DI27" s="3">
        <v>1529.5</v>
      </c>
      <c r="DJ27" s="3">
        <v>1670.4</v>
      </c>
      <c r="DK27" s="3">
        <v>1670.6</v>
      </c>
      <c r="DL27" s="3">
        <v>1707.7</v>
      </c>
      <c r="DM27" s="3">
        <v>1686.7</v>
      </c>
      <c r="DN27" s="3">
        <v>1759.6</v>
      </c>
      <c r="DO27" s="3">
        <v>1816.8</v>
      </c>
      <c r="DP27" s="3">
        <v>1769</v>
      </c>
      <c r="DQ27" s="3">
        <v>1817</v>
      </c>
      <c r="DR27" s="3">
        <v>1808.3</v>
      </c>
      <c r="DS27" s="3">
        <v>1775</v>
      </c>
      <c r="DT27" s="3">
        <v>1826.3</v>
      </c>
      <c r="DU27" s="3">
        <v>2007.2</v>
      </c>
      <c r="DV27" s="3">
        <v>2025.5</v>
      </c>
      <c r="DW27" s="3">
        <v>2096.6999999999998</v>
      </c>
      <c r="DX27" s="3">
        <v>2099.4</v>
      </c>
      <c r="DY27" s="3">
        <v>2115.8000000000002</v>
      </c>
      <c r="DZ27" s="3">
        <v>2277.6999999999998</v>
      </c>
      <c r="EA27" s="3">
        <v>2183.6</v>
      </c>
      <c r="EB27" s="3">
        <v>2143.5</v>
      </c>
      <c r="EC27" s="3">
        <v>2108.1999999999998</v>
      </c>
      <c r="ED27" s="3">
        <v>2116.1</v>
      </c>
      <c r="EE27" s="3">
        <v>2069</v>
      </c>
      <c r="EF27" s="3">
        <v>2052.8000000000002</v>
      </c>
      <c r="EG27" s="3">
        <v>2040.2</v>
      </c>
      <c r="EH27" s="3">
        <v>2089.1999999999998</v>
      </c>
      <c r="EI27" s="3">
        <v>2026.9</v>
      </c>
      <c r="EJ27" s="3">
        <v>2051.1</v>
      </c>
      <c r="EK27" s="3">
        <v>2057.1999999999998</v>
      </c>
      <c r="EL27" s="3">
        <v>2027.8</v>
      </c>
      <c r="EM27" s="3">
        <v>2004.5</v>
      </c>
    </row>
    <row r="28" spans="1:143" ht="20.100000000000001" customHeight="1" x14ac:dyDescent="0.3">
      <c r="A28" s="4" t="s">
        <v>169</v>
      </c>
      <c r="B28" s="3">
        <v>4516.6000000000004</v>
      </c>
      <c r="C28" s="3">
        <v>4864.1000000000004</v>
      </c>
      <c r="D28" s="3">
        <v>5162.6000000000004</v>
      </c>
      <c r="E28" s="3">
        <v>5240.3</v>
      </c>
      <c r="F28" s="3">
        <v>5909.5</v>
      </c>
      <c r="G28" s="3">
        <v>6255.3</v>
      </c>
      <c r="H28" s="3">
        <v>6511.4</v>
      </c>
      <c r="I28" s="3">
        <v>5941.6</v>
      </c>
      <c r="J28" s="3">
        <v>6662.1</v>
      </c>
      <c r="K28" s="3">
        <v>7064.7</v>
      </c>
      <c r="L28" s="3">
        <v>6785.1</v>
      </c>
      <c r="M28" s="3">
        <v>6644</v>
      </c>
      <c r="N28" s="3">
        <v>6934.8</v>
      </c>
      <c r="O28" s="3">
        <v>7099.4</v>
      </c>
      <c r="P28" s="3">
        <v>7012.9</v>
      </c>
      <c r="Q28" s="3">
        <v>6851.1</v>
      </c>
      <c r="R28" s="3">
        <v>7969.2</v>
      </c>
      <c r="S28" s="3">
        <v>7280</v>
      </c>
      <c r="T28" s="3">
        <v>7262.3</v>
      </c>
      <c r="U28" s="3">
        <v>7463.3</v>
      </c>
      <c r="V28" s="3">
        <v>7227.9</v>
      </c>
      <c r="W28" s="3">
        <v>7020.6</v>
      </c>
      <c r="X28" s="3">
        <v>7405.1</v>
      </c>
      <c r="Y28" s="3">
        <v>8046.7</v>
      </c>
      <c r="Z28" s="3">
        <v>8630.2000000000007</v>
      </c>
      <c r="AA28" s="3">
        <v>8499</v>
      </c>
      <c r="AB28" s="3">
        <v>9024</v>
      </c>
      <c r="AC28" s="3">
        <v>9575.1</v>
      </c>
      <c r="AD28" s="3">
        <v>9771.9</v>
      </c>
      <c r="AE28" s="3">
        <v>9401.4</v>
      </c>
      <c r="AF28" s="3">
        <v>9607.6</v>
      </c>
      <c r="AG28" s="3">
        <v>9627.2000000000007</v>
      </c>
      <c r="AH28" s="3">
        <v>9601.7999999999993</v>
      </c>
      <c r="AI28" s="3">
        <v>8948.1</v>
      </c>
      <c r="AJ28" s="3">
        <v>8935.9</v>
      </c>
      <c r="AK28" s="3">
        <v>9014.4</v>
      </c>
      <c r="AL28" s="3">
        <v>9158</v>
      </c>
      <c r="AM28" s="3">
        <v>9912.1</v>
      </c>
      <c r="AN28" s="3">
        <v>9390</v>
      </c>
      <c r="AO28" s="3">
        <v>8972</v>
      </c>
      <c r="AP28" s="3">
        <v>8314</v>
      </c>
      <c r="AQ28" s="3">
        <v>8911.1</v>
      </c>
      <c r="AR28" s="3">
        <v>9169.5</v>
      </c>
      <c r="AS28" s="3">
        <v>8359.1</v>
      </c>
      <c r="AT28" s="3">
        <v>8283.2000000000007</v>
      </c>
      <c r="AU28" s="3">
        <v>8549.6</v>
      </c>
      <c r="AV28" s="3">
        <v>9812.5</v>
      </c>
      <c r="AW28" s="3">
        <v>8368.9</v>
      </c>
      <c r="AX28" s="3">
        <v>8114.1</v>
      </c>
      <c r="AY28" s="3">
        <v>8000.6</v>
      </c>
      <c r="AZ28" s="3">
        <v>8043.2</v>
      </c>
      <c r="BA28" s="3">
        <v>8526.7999999999993</v>
      </c>
      <c r="BB28" s="3">
        <v>8170.3</v>
      </c>
      <c r="BC28" s="3">
        <v>8339.2000000000007</v>
      </c>
      <c r="BD28" s="3">
        <v>8236.7000000000007</v>
      </c>
      <c r="BE28" s="3">
        <v>8709.2999999999993</v>
      </c>
      <c r="BF28" s="3">
        <v>8285.1</v>
      </c>
      <c r="BG28" s="3">
        <v>8526.2000000000007</v>
      </c>
      <c r="BH28" s="3">
        <v>8351.1</v>
      </c>
      <c r="BI28" s="3">
        <v>8300.6</v>
      </c>
      <c r="BJ28" s="3">
        <v>8410.2000000000007</v>
      </c>
      <c r="BK28" s="3">
        <v>8715.6</v>
      </c>
      <c r="BL28" s="3">
        <v>8542.7999999999993</v>
      </c>
      <c r="BM28" s="3">
        <v>8316.6</v>
      </c>
      <c r="BN28" s="3">
        <v>8305.7000000000007</v>
      </c>
      <c r="BO28" s="3">
        <v>8265</v>
      </c>
      <c r="BP28" s="3">
        <v>8503.6</v>
      </c>
      <c r="BQ28" s="3">
        <v>8757.6</v>
      </c>
      <c r="BR28" s="3">
        <v>8945.6</v>
      </c>
      <c r="BS28" s="3">
        <v>8736.4</v>
      </c>
      <c r="BT28" s="3">
        <v>8775.7000000000007</v>
      </c>
      <c r="BU28" s="3">
        <v>8755.1</v>
      </c>
      <c r="BV28" s="3">
        <v>8672.1</v>
      </c>
      <c r="BW28" s="3">
        <v>8650.1</v>
      </c>
      <c r="BX28" s="3">
        <v>8738.7999999999993</v>
      </c>
      <c r="BY28" s="3">
        <v>9426.5</v>
      </c>
      <c r="BZ28" s="3">
        <v>10567.4</v>
      </c>
      <c r="CA28" s="3">
        <v>10123.799999999999</v>
      </c>
      <c r="CB28" s="3">
        <v>9345.4</v>
      </c>
      <c r="CC28" s="3">
        <v>9840.4</v>
      </c>
      <c r="CD28" s="3">
        <v>9595.9</v>
      </c>
      <c r="CE28" s="3">
        <v>9303.9</v>
      </c>
      <c r="CF28" s="3">
        <v>8954</v>
      </c>
      <c r="CG28" s="3">
        <v>8754</v>
      </c>
      <c r="CH28" s="3">
        <v>8660.7999999999993</v>
      </c>
      <c r="CI28" s="3">
        <v>8485.7000000000007</v>
      </c>
      <c r="CJ28" s="3">
        <v>8470.4</v>
      </c>
      <c r="CK28" s="3">
        <v>8846.2000000000007</v>
      </c>
      <c r="CL28" s="3">
        <v>8495.9</v>
      </c>
      <c r="CM28" s="3">
        <v>8534.2999999999993</v>
      </c>
      <c r="CN28" s="3">
        <v>8498.6</v>
      </c>
      <c r="CO28" s="3">
        <v>8510.6</v>
      </c>
      <c r="CP28" s="3">
        <v>8323.1</v>
      </c>
      <c r="CQ28" s="3">
        <v>8359.1</v>
      </c>
      <c r="CR28" s="3">
        <v>8586.7000000000007</v>
      </c>
      <c r="CS28" s="3">
        <v>8120</v>
      </c>
      <c r="CT28" s="3">
        <v>8129.7</v>
      </c>
      <c r="CU28" s="3">
        <v>7985.1</v>
      </c>
      <c r="CV28" s="3">
        <v>8203.1</v>
      </c>
      <c r="CW28" s="3">
        <v>8228.2000000000007</v>
      </c>
      <c r="CX28" s="3">
        <v>8331.5</v>
      </c>
      <c r="CY28" s="3">
        <v>8338.2999999999993</v>
      </c>
      <c r="CZ28" s="3">
        <v>8417.7999999999993</v>
      </c>
      <c r="DA28" s="3">
        <v>8185.8</v>
      </c>
      <c r="DB28" s="3">
        <v>7971.7</v>
      </c>
      <c r="DC28" s="3">
        <v>7819.7</v>
      </c>
      <c r="DD28" s="3">
        <v>8214.2999999999993</v>
      </c>
      <c r="DE28" s="3">
        <v>7982.8</v>
      </c>
      <c r="DF28" s="3">
        <v>7843.1</v>
      </c>
      <c r="DG28" s="3">
        <v>7722.6</v>
      </c>
      <c r="DH28" s="3">
        <v>7613.7</v>
      </c>
      <c r="DI28" s="3">
        <v>7509.4</v>
      </c>
      <c r="DJ28" s="3">
        <v>7671.4</v>
      </c>
      <c r="DK28" s="3">
        <v>7313.2</v>
      </c>
      <c r="DL28" s="3">
        <v>7167.7</v>
      </c>
      <c r="DM28" s="3">
        <v>6989</v>
      </c>
      <c r="DN28" s="3">
        <v>7083.3</v>
      </c>
      <c r="DO28" s="3">
        <v>7953.3</v>
      </c>
      <c r="DP28" s="3">
        <v>8010.4</v>
      </c>
      <c r="DQ28" s="3">
        <v>8354.2999999999993</v>
      </c>
      <c r="DR28" s="3">
        <v>8401.1</v>
      </c>
      <c r="DS28" s="3">
        <v>8465.2999999999993</v>
      </c>
      <c r="DT28" s="3">
        <v>7885.3</v>
      </c>
      <c r="DU28" s="3">
        <v>7813</v>
      </c>
      <c r="DV28" s="3">
        <v>8003</v>
      </c>
      <c r="DW28" s="3">
        <v>7820.5</v>
      </c>
      <c r="DX28" s="3">
        <v>7336.7</v>
      </c>
      <c r="DY28" s="3">
        <v>7367</v>
      </c>
      <c r="DZ28" s="3">
        <v>7043</v>
      </c>
      <c r="EA28" s="3">
        <v>6911.6</v>
      </c>
      <c r="EB28" s="3">
        <v>6928.1</v>
      </c>
      <c r="EC28" s="3">
        <v>7247.2</v>
      </c>
      <c r="ED28" s="3">
        <v>7311.5</v>
      </c>
      <c r="EE28" s="3">
        <v>7230.5</v>
      </c>
      <c r="EF28" s="3">
        <v>7599</v>
      </c>
      <c r="EG28" s="3">
        <v>7630</v>
      </c>
      <c r="EH28" s="3">
        <v>7974.9</v>
      </c>
      <c r="EI28" s="3">
        <v>7563</v>
      </c>
      <c r="EJ28" s="3">
        <v>7638.8</v>
      </c>
      <c r="EK28" s="3">
        <v>7023</v>
      </c>
      <c r="EL28" s="3">
        <v>7287.8</v>
      </c>
      <c r="EM28" s="3">
        <v>6836.6</v>
      </c>
    </row>
    <row r="29" spans="1:143" ht="20.100000000000001" customHeight="1" x14ac:dyDescent="0.3">
      <c r="A29" s="4" t="s">
        <v>170</v>
      </c>
      <c r="B29" s="3">
        <v>64611.3</v>
      </c>
      <c r="C29" s="3">
        <v>65431</v>
      </c>
      <c r="D29" s="3">
        <v>67158.2</v>
      </c>
      <c r="E29" s="3">
        <v>68553.7</v>
      </c>
      <c r="F29" s="3">
        <v>70727</v>
      </c>
      <c r="G29" s="3">
        <v>72503.399999999994</v>
      </c>
      <c r="H29" s="3">
        <v>74856.800000000003</v>
      </c>
      <c r="I29" s="3">
        <v>75650.899999999994</v>
      </c>
      <c r="J29" s="3">
        <v>77002.2</v>
      </c>
      <c r="K29" s="3">
        <v>78835</v>
      </c>
      <c r="L29" s="3">
        <v>79987.5</v>
      </c>
      <c r="M29" s="3">
        <v>81521.3</v>
      </c>
      <c r="N29" s="3">
        <v>83093.2</v>
      </c>
      <c r="O29" s="3">
        <v>85065.7</v>
      </c>
      <c r="P29" s="3">
        <v>86948</v>
      </c>
      <c r="Q29" s="3">
        <v>88783</v>
      </c>
      <c r="R29" s="3">
        <v>90788.6</v>
      </c>
      <c r="S29" s="3">
        <v>92677.3</v>
      </c>
      <c r="T29" s="3">
        <v>94974.9</v>
      </c>
      <c r="U29" s="3">
        <v>97806.8</v>
      </c>
      <c r="V29" s="3">
        <v>99907</v>
      </c>
      <c r="W29" s="3">
        <v>101304.9</v>
      </c>
      <c r="X29" s="3">
        <v>103518.39999999999</v>
      </c>
      <c r="Y29" s="3">
        <v>105559.8</v>
      </c>
      <c r="Z29" s="3">
        <v>107112.2</v>
      </c>
      <c r="AA29" s="3">
        <v>109846.5</v>
      </c>
      <c r="AB29" s="3">
        <v>112214.1</v>
      </c>
      <c r="AC29" s="3">
        <v>114213</v>
      </c>
      <c r="AD29" s="3">
        <v>115138.7</v>
      </c>
      <c r="AE29" s="3">
        <v>118889.4</v>
      </c>
      <c r="AF29" s="3">
        <v>121112</v>
      </c>
      <c r="AG29" s="3">
        <v>121237.2</v>
      </c>
      <c r="AH29" s="3">
        <v>113966.3</v>
      </c>
      <c r="AI29" s="3">
        <v>115004.7</v>
      </c>
      <c r="AJ29" s="3">
        <v>117894.6</v>
      </c>
      <c r="AK29" s="3">
        <v>120154.9</v>
      </c>
      <c r="AL29" s="3">
        <v>123508.4</v>
      </c>
      <c r="AM29" s="3">
        <v>126849.9</v>
      </c>
      <c r="AN29" s="3">
        <v>130298.7</v>
      </c>
      <c r="AO29" s="3">
        <v>132999.9</v>
      </c>
      <c r="AP29" s="3">
        <v>135813.9</v>
      </c>
      <c r="AQ29" s="3">
        <v>137769.79999999999</v>
      </c>
      <c r="AR29" s="3">
        <v>138935.9</v>
      </c>
      <c r="AS29" s="3">
        <v>141670.5</v>
      </c>
      <c r="AT29" s="3">
        <v>143299.79999999999</v>
      </c>
      <c r="AU29" s="3">
        <v>145028</v>
      </c>
      <c r="AV29" s="3">
        <v>146765.70000000001</v>
      </c>
      <c r="AW29" s="3">
        <v>150643.70000000001</v>
      </c>
      <c r="AX29" s="3">
        <v>155374.1</v>
      </c>
      <c r="AY29" s="3">
        <v>158220</v>
      </c>
      <c r="AZ29" s="3">
        <v>160597.29999999999</v>
      </c>
      <c r="BA29" s="3">
        <v>161582.29999999999</v>
      </c>
      <c r="BB29" s="3">
        <v>160666</v>
      </c>
      <c r="BC29" s="3">
        <v>161046.79999999999</v>
      </c>
      <c r="BD29" s="3">
        <v>163569.79999999999</v>
      </c>
      <c r="BE29" s="3">
        <v>165762.6</v>
      </c>
      <c r="BF29" s="3">
        <v>166034</v>
      </c>
      <c r="BG29" s="3">
        <v>167360.20000000001</v>
      </c>
      <c r="BH29" s="3">
        <v>168694.3</v>
      </c>
      <c r="BI29" s="3">
        <v>170123.4</v>
      </c>
      <c r="BJ29" s="3">
        <v>172201.9</v>
      </c>
      <c r="BK29" s="3">
        <v>174311.8</v>
      </c>
      <c r="BL29" s="3">
        <v>177200.5</v>
      </c>
      <c r="BM29" s="3">
        <v>179360.5</v>
      </c>
      <c r="BN29" s="3">
        <v>181336.9</v>
      </c>
      <c r="BO29" s="3">
        <v>183508.9</v>
      </c>
      <c r="BP29" s="3">
        <v>185051.4</v>
      </c>
      <c r="BQ29" s="3">
        <v>187316</v>
      </c>
      <c r="BR29" s="3">
        <v>190971.9</v>
      </c>
      <c r="BS29" s="3">
        <v>193680.4</v>
      </c>
      <c r="BT29" s="3">
        <v>196569.4</v>
      </c>
      <c r="BU29" s="3">
        <v>199585.7</v>
      </c>
      <c r="BV29" s="3">
        <v>201659.3</v>
      </c>
      <c r="BW29" s="3">
        <v>202714.3</v>
      </c>
      <c r="BX29" s="3">
        <v>204437.3</v>
      </c>
      <c r="BY29" s="3">
        <v>201883</v>
      </c>
      <c r="BZ29" s="3">
        <v>201486.4</v>
      </c>
      <c r="CA29" s="3">
        <v>204480.2</v>
      </c>
      <c r="CB29" s="3">
        <v>208229.7</v>
      </c>
      <c r="CC29" s="3">
        <v>210644.9</v>
      </c>
      <c r="CD29" s="3">
        <v>213729.7</v>
      </c>
      <c r="CE29" s="3">
        <v>215283.1</v>
      </c>
      <c r="CF29" s="3">
        <v>217057</v>
      </c>
      <c r="CG29" s="3">
        <v>220528.4</v>
      </c>
      <c r="CH29" s="3">
        <v>223134.1</v>
      </c>
      <c r="CI29" s="3">
        <v>224409.3</v>
      </c>
      <c r="CJ29" s="3">
        <v>225354.8</v>
      </c>
      <c r="CK29" s="3">
        <v>226889.8</v>
      </c>
      <c r="CL29" s="3">
        <v>230484.4</v>
      </c>
      <c r="CM29" s="3">
        <v>231963</v>
      </c>
      <c r="CN29" s="3">
        <v>233097.1</v>
      </c>
      <c r="CO29" s="3">
        <v>234891.1</v>
      </c>
      <c r="CP29" s="3">
        <v>237055.1</v>
      </c>
      <c r="CQ29" s="3">
        <v>240156.7</v>
      </c>
      <c r="CR29" s="3">
        <v>242186.5</v>
      </c>
      <c r="CS29" s="3">
        <v>243822.2</v>
      </c>
      <c r="CT29" s="3">
        <v>245732.6</v>
      </c>
      <c r="CU29" s="3">
        <v>247099.1</v>
      </c>
      <c r="CV29" s="3">
        <v>248763.3</v>
      </c>
      <c r="CW29" s="3">
        <v>250641.2</v>
      </c>
      <c r="CX29" s="3">
        <v>252401.8</v>
      </c>
      <c r="CY29" s="3">
        <v>253742.6</v>
      </c>
      <c r="CZ29" s="3">
        <v>257206.39999999999</v>
      </c>
      <c r="DA29" s="3">
        <v>259934.6</v>
      </c>
      <c r="DB29" s="3">
        <v>261447.1</v>
      </c>
      <c r="DC29" s="3">
        <v>264112.40000000002</v>
      </c>
      <c r="DD29" s="3">
        <v>265943</v>
      </c>
      <c r="DE29" s="3">
        <v>266629.90000000002</v>
      </c>
      <c r="DF29" s="3">
        <v>268263</v>
      </c>
      <c r="DG29" s="3">
        <v>270533.2</v>
      </c>
      <c r="DH29" s="3">
        <v>273894.8</v>
      </c>
      <c r="DI29" s="3">
        <v>275374.8</v>
      </c>
      <c r="DJ29" s="3">
        <v>280532.40000000002</v>
      </c>
      <c r="DK29" s="3">
        <v>282011.8</v>
      </c>
      <c r="DL29" s="3">
        <v>284365.8</v>
      </c>
      <c r="DM29" s="3">
        <v>286742.8</v>
      </c>
      <c r="DN29" s="3">
        <v>289593.90000000002</v>
      </c>
      <c r="DO29" s="3">
        <v>292864.5</v>
      </c>
      <c r="DP29" s="3">
        <v>295049.7</v>
      </c>
      <c r="DQ29" s="3">
        <v>299181.3</v>
      </c>
      <c r="DR29" s="3">
        <v>293355.5</v>
      </c>
      <c r="DS29" s="3">
        <v>289122</v>
      </c>
      <c r="DT29" s="3">
        <v>293483.8</v>
      </c>
      <c r="DU29" s="3">
        <v>295704.5</v>
      </c>
      <c r="DV29" s="3">
        <v>299171.40000000002</v>
      </c>
      <c r="DW29" s="3">
        <v>304421</v>
      </c>
      <c r="DX29" s="3">
        <v>306966.3</v>
      </c>
      <c r="DY29" s="3">
        <v>312044.59999999998</v>
      </c>
      <c r="DZ29" s="3">
        <v>310618.59999999998</v>
      </c>
      <c r="EA29" s="3">
        <v>316630.3</v>
      </c>
      <c r="EB29" s="3">
        <v>318799.59999999998</v>
      </c>
      <c r="EC29" s="3">
        <v>323022.09999999998</v>
      </c>
      <c r="ED29" s="3">
        <v>323766.5</v>
      </c>
      <c r="EE29" s="3">
        <v>324741</v>
      </c>
      <c r="EF29" s="3">
        <v>326703.8</v>
      </c>
      <c r="EG29" s="3">
        <v>327884.90000000002</v>
      </c>
      <c r="EH29" s="3">
        <v>329949.90000000002</v>
      </c>
      <c r="EI29" s="3">
        <v>330241.5</v>
      </c>
      <c r="EJ29" s="3">
        <v>331459.7</v>
      </c>
      <c r="EK29" s="3">
        <v>332549.7</v>
      </c>
      <c r="EL29" s="3">
        <v>331842.40000000002</v>
      </c>
      <c r="EM29" s="3">
        <v>334600.09999999998</v>
      </c>
    </row>
    <row r="30" spans="1:143" ht="20.100000000000001" customHeight="1" x14ac:dyDescent="0.3">
      <c r="A30" s="4" t="s">
        <v>171</v>
      </c>
      <c r="B30" s="3">
        <v>17344.099999999999</v>
      </c>
      <c r="C30" s="3">
        <v>17115</v>
      </c>
      <c r="D30" s="3">
        <v>17800.099999999999</v>
      </c>
      <c r="E30" s="3">
        <v>18069.2</v>
      </c>
      <c r="F30" s="3">
        <v>18571.400000000001</v>
      </c>
      <c r="G30" s="3">
        <v>18916.2</v>
      </c>
      <c r="H30" s="3">
        <v>19380.400000000001</v>
      </c>
      <c r="I30" s="3">
        <v>19833.599999999999</v>
      </c>
      <c r="J30" s="3">
        <v>19857.8</v>
      </c>
      <c r="K30" s="3">
        <v>20096</v>
      </c>
      <c r="L30" s="3">
        <v>20263.900000000001</v>
      </c>
      <c r="M30" s="3">
        <v>20533.400000000001</v>
      </c>
      <c r="N30" s="3">
        <v>20998.2</v>
      </c>
      <c r="O30" s="3">
        <v>21266.9</v>
      </c>
      <c r="P30" s="3">
        <v>21758.5</v>
      </c>
      <c r="Q30" s="3">
        <v>22145.200000000001</v>
      </c>
      <c r="R30" s="3">
        <v>22796.9</v>
      </c>
      <c r="S30" s="3">
        <v>23038.400000000001</v>
      </c>
      <c r="T30" s="3">
        <v>23219.200000000001</v>
      </c>
      <c r="U30" s="3">
        <v>24016.3</v>
      </c>
      <c r="V30" s="3">
        <v>24751</v>
      </c>
      <c r="W30" s="3">
        <v>24928.9</v>
      </c>
      <c r="X30" s="3">
        <v>24802</v>
      </c>
      <c r="Y30" s="3">
        <v>25365.599999999999</v>
      </c>
      <c r="Z30" s="3">
        <v>25636.7</v>
      </c>
      <c r="AA30" s="3">
        <v>26552.6</v>
      </c>
      <c r="AB30" s="3">
        <v>26903.4</v>
      </c>
      <c r="AC30" s="3">
        <v>27296.2</v>
      </c>
      <c r="AD30" s="3">
        <v>26336.7</v>
      </c>
      <c r="AE30" s="3">
        <v>27956.2</v>
      </c>
      <c r="AF30" s="3">
        <v>28262.7</v>
      </c>
      <c r="AG30" s="3">
        <v>27833.5</v>
      </c>
      <c r="AH30" s="3">
        <v>24855.3</v>
      </c>
      <c r="AI30" s="3">
        <v>24471.9</v>
      </c>
      <c r="AJ30" s="3">
        <v>25327</v>
      </c>
      <c r="AK30" s="3">
        <v>26245.1</v>
      </c>
      <c r="AL30" s="3">
        <v>27993.1</v>
      </c>
      <c r="AM30" s="3">
        <v>28624.799999999999</v>
      </c>
      <c r="AN30" s="3">
        <v>30144</v>
      </c>
      <c r="AO30" s="3">
        <v>30929.7</v>
      </c>
      <c r="AP30" s="3">
        <v>31108.7</v>
      </c>
      <c r="AQ30" s="3">
        <v>31822.2</v>
      </c>
      <c r="AR30" s="3">
        <v>32109.8</v>
      </c>
      <c r="AS30" s="3">
        <v>32351.1</v>
      </c>
      <c r="AT30" s="3">
        <v>32944.6</v>
      </c>
      <c r="AU30" s="3">
        <v>33702.9</v>
      </c>
      <c r="AV30" s="3">
        <v>33606.800000000003</v>
      </c>
      <c r="AW30" s="3">
        <v>33846.300000000003</v>
      </c>
      <c r="AX30" s="3">
        <v>34772.5</v>
      </c>
      <c r="AY30" s="3">
        <v>35619.5</v>
      </c>
      <c r="AZ30" s="3">
        <v>35853.1</v>
      </c>
      <c r="BA30" s="3">
        <v>35693.199999999997</v>
      </c>
      <c r="BB30" s="3">
        <v>34700.1</v>
      </c>
      <c r="BC30" s="3">
        <v>34284.9</v>
      </c>
      <c r="BD30" s="3">
        <v>34609.300000000003</v>
      </c>
      <c r="BE30" s="3">
        <v>34759.699999999997</v>
      </c>
      <c r="BF30" s="3">
        <v>34746.400000000001</v>
      </c>
      <c r="BG30" s="3">
        <v>34446.5</v>
      </c>
      <c r="BH30" s="3">
        <v>34580.9</v>
      </c>
      <c r="BI30" s="3">
        <v>34939.1</v>
      </c>
      <c r="BJ30" s="3">
        <v>34712.800000000003</v>
      </c>
      <c r="BK30" s="3">
        <v>35068.699999999997</v>
      </c>
      <c r="BL30" s="3">
        <v>35596.1</v>
      </c>
      <c r="BM30" s="3">
        <v>36049.599999999999</v>
      </c>
      <c r="BN30" s="3">
        <v>36547</v>
      </c>
      <c r="BO30" s="3">
        <v>36834.1</v>
      </c>
      <c r="BP30" s="3">
        <v>36922.6</v>
      </c>
      <c r="BQ30" s="3">
        <v>36637.699999999997</v>
      </c>
      <c r="BR30" s="3">
        <v>38369</v>
      </c>
      <c r="BS30" s="3">
        <v>38616.5</v>
      </c>
      <c r="BT30" s="3">
        <v>38674.9</v>
      </c>
      <c r="BU30" s="3">
        <v>39577.800000000003</v>
      </c>
      <c r="BV30" s="3">
        <v>39874.1</v>
      </c>
      <c r="BW30" s="3">
        <v>39987.199999999997</v>
      </c>
      <c r="BX30" s="3">
        <v>40318.1</v>
      </c>
      <c r="BY30" s="3">
        <v>38161.800000000003</v>
      </c>
      <c r="BZ30" s="3">
        <v>38549.699999999997</v>
      </c>
      <c r="CA30" s="3">
        <v>39168.6</v>
      </c>
      <c r="CB30" s="3">
        <v>40000</v>
      </c>
      <c r="CC30" s="3">
        <v>40494.6</v>
      </c>
      <c r="CD30" s="3">
        <v>41511</v>
      </c>
      <c r="CE30" s="3">
        <v>41821.5</v>
      </c>
      <c r="CF30" s="3">
        <v>42523</v>
      </c>
      <c r="CG30" s="3">
        <v>43196.5</v>
      </c>
      <c r="CH30" s="3">
        <v>43771.8</v>
      </c>
      <c r="CI30" s="3">
        <v>44180</v>
      </c>
      <c r="CJ30" s="3">
        <v>44311.8</v>
      </c>
      <c r="CK30" s="3">
        <v>44667.9</v>
      </c>
      <c r="CL30" s="3">
        <v>45281.9</v>
      </c>
      <c r="CM30" s="3">
        <v>45817.3</v>
      </c>
      <c r="CN30" s="3">
        <v>46281.3</v>
      </c>
      <c r="CO30" s="3">
        <v>46594.7</v>
      </c>
      <c r="CP30" s="3">
        <v>46952.9</v>
      </c>
      <c r="CQ30" s="3">
        <v>47503.3</v>
      </c>
      <c r="CR30" s="3">
        <v>48096.1</v>
      </c>
      <c r="CS30" s="3">
        <v>48403.5</v>
      </c>
      <c r="CT30" s="3">
        <v>48428.5</v>
      </c>
      <c r="CU30" s="3">
        <v>48506.8</v>
      </c>
      <c r="CV30" s="3">
        <v>48507.199999999997</v>
      </c>
      <c r="CW30" s="3">
        <v>48158.5</v>
      </c>
      <c r="CX30" s="3">
        <v>49410</v>
      </c>
      <c r="CY30" s="3">
        <v>49430.1</v>
      </c>
      <c r="CZ30" s="3">
        <v>50000.9</v>
      </c>
      <c r="DA30" s="3">
        <v>50589.599999999999</v>
      </c>
      <c r="DB30" s="3">
        <v>51005.1</v>
      </c>
      <c r="DC30" s="3">
        <v>51279</v>
      </c>
      <c r="DD30" s="3">
        <v>51287.6</v>
      </c>
      <c r="DE30" s="3">
        <v>51516.800000000003</v>
      </c>
      <c r="DF30" s="3">
        <v>51220.800000000003</v>
      </c>
      <c r="DG30" s="3">
        <v>52344.3</v>
      </c>
      <c r="DH30" s="3">
        <v>53185.7</v>
      </c>
      <c r="DI30" s="3">
        <v>53061.5</v>
      </c>
      <c r="DJ30" s="3">
        <v>53041.1</v>
      </c>
      <c r="DK30" s="3">
        <v>53769.8</v>
      </c>
      <c r="DL30" s="3">
        <v>54320.3</v>
      </c>
      <c r="DM30" s="3">
        <v>54815.9</v>
      </c>
      <c r="DN30" s="3">
        <v>55408.2</v>
      </c>
      <c r="DO30" s="3">
        <v>55843.8</v>
      </c>
      <c r="DP30" s="3">
        <v>56139.7</v>
      </c>
      <c r="DQ30" s="3">
        <v>56785.4</v>
      </c>
      <c r="DR30" s="3">
        <v>54255.199999999997</v>
      </c>
      <c r="DS30" s="3">
        <v>53276.7</v>
      </c>
      <c r="DT30" s="3">
        <v>53761.1</v>
      </c>
      <c r="DU30" s="3">
        <v>53578.400000000001</v>
      </c>
      <c r="DV30" s="3">
        <v>53219.7</v>
      </c>
      <c r="DW30" s="3">
        <v>54653.5</v>
      </c>
      <c r="DX30" s="3">
        <v>54713.8</v>
      </c>
      <c r="DY30" s="3">
        <v>57106.5</v>
      </c>
      <c r="DZ30" s="3">
        <v>55503.6</v>
      </c>
      <c r="EA30" s="3">
        <v>57952.9</v>
      </c>
      <c r="EB30" s="3">
        <v>58867.9</v>
      </c>
      <c r="EC30" s="3">
        <v>59650</v>
      </c>
      <c r="ED30" s="3">
        <v>58165.2</v>
      </c>
      <c r="EE30" s="3">
        <v>56115.7</v>
      </c>
      <c r="EF30" s="3">
        <v>55573.7</v>
      </c>
      <c r="EG30" s="3">
        <v>55460.9</v>
      </c>
      <c r="EH30" s="3">
        <v>56449.5</v>
      </c>
      <c r="EI30" s="3">
        <v>55689.2</v>
      </c>
      <c r="EJ30" s="3">
        <v>55016.800000000003</v>
      </c>
      <c r="EK30" s="3">
        <v>54865.7</v>
      </c>
      <c r="EL30" s="3">
        <v>54854.9</v>
      </c>
      <c r="EM30" s="3">
        <v>55795.7</v>
      </c>
    </row>
    <row r="31" spans="1:143" ht="20.100000000000001" customHeight="1" x14ac:dyDescent="0.3">
      <c r="A31" s="4" t="s">
        <v>172</v>
      </c>
      <c r="B31" s="3">
        <v>13173.7</v>
      </c>
      <c r="C31" s="3">
        <v>12938.3</v>
      </c>
      <c r="D31" s="3">
        <v>13478.1</v>
      </c>
      <c r="E31" s="3">
        <v>13666</v>
      </c>
      <c r="F31" s="3">
        <v>13998.2</v>
      </c>
      <c r="G31" s="3">
        <v>14251.3</v>
      </c>
      <c r="H31" s="3">
        <v>14576.1</v>
      </c>
      <c r="I31" s="3">
        <v>14949.2</v>
      </c>
      <c r="J31" s="3">
        <v>14897.7</v>
      </c>
      <c r="K31" s="3">
        <v>15035.2</v>
      </c>
      <c r="L31" s="3">
        <v>15098.2</v>
      </c>
      <c r="M31" s="3">
        <v>15339.4</v>
      </c>
      <c r="N31" s="3">
        <v>15749.1</v>
      </c>
      <c r="O31" s="3">
        <v>15914.6</v>
      </c>
      <c r="P31" s="3">
        <v>16299</v>
      </c>
      <c r="Q31" s="3">
        <v>16492</v>
      </c>
      <c r="R31" s="3">
        <v>17036</v>
      </c>
      <c r="S31" s="3">
        <v>17124.900000000001</v>
      </c>
      <c r="T31" s="3">
        <v>17228</v>
      </c>
      <c r="U31" s="3">
        <v>17810.099999999999</v>
      </c>
      <c r="V31" s="3">
        <v>18307.099999999999</v>
      </c>
      <c r="W31" s="3">
        <v>18480.099999999999</v>
      </c>
      <c r="X31" s="3">
        <v>18217.7</v>
      </c>
      <c r="Y31" s="3">
        <v>18606.8</v>
      </c>
      <c r="Z31" s="3">
        <v>18767</v>
      </c>
      <c r="AA31" s="3">
        <v>19566.5</v>
      </c>
      <c r="AB31" s="3">
        <v>19801.5</v>
      </c>
      <c r="AC31" s="3">
        <v>20075.2</v>
      </c>
      <c r="AD31" s="3">
        <v>19143</v>
      </c>
      <c r="AE31" s="3">
        <v>20629.099999999999</v>
      </c>
      <c r="AF31" s="3">
        <v>20906.5</v>
      </c>
      <c r="AG31" s="3">
        <v>20447.2</v>
      </c>
      <c r="AH31" s="3">
        <v>18295.900000000001</v>
      </c>
      <c r="AI31" s="3">
        <v>18088.599999999999</v>
      </c>
      <c r="AJ31" s="3">
        <v>18737.099999999999</v>
      </c>
      <c r="AK31" s="3">
        <v>19554.099999999999</v>
      </c>
      <c r="AL31" s="3">
        <v>20169.599999999999</v>
      </c>
      <c r="AM31" s="3">
        <v>20837.8</v>
      </c>
      <c r="AN31" s="3">
        <v>22049.9</v>
      </c>
      <c r="AO31" s="3">
        <v>22651.1</v>
      </c>
      <c r="AP31" s="3">
        <v>22939.4</v>
      </c>
      <c r="AQ31" s="3">
        <v>23409.8</v>
      </c>
      <c r="AR31" s="3">
        <v>23542.5</v>
      </c>
      <c r="AS31" s="3">
        <v>23607.599999999999</v>
      </c>
      <c r="AT31" s="3">
        <v>23921.1</v>
      </c>
      <c r="AU31" s="3">
        <v>24421.200000000001</v>
      </c>
      <c r="AV31" s="3">
        <v>24262.5</v>
      </c>
      <c r="AW31" s="3">
        <v>24373.5</v>
      </c>
      <c r="AX31" s="3">
        <v>25130</v>
      </c>
      <c r="AY31" s="3">
        <v>25551</v>
      </c>
      <c r="AZ31" s="3">
        <v>25911.200000000001</v>
      </c>
      <c r="BA31" s="3">
        <v>25806.799999999999</v>
      </c>
      <c r="BB31" s="3">
        <v>24863.3</v>
      </c>
      <c r="BC31" s="3">
        <v>24522.3</v>
      </c>
      <c r="BD31" s="3">
        <v>24869.3</v>
      </c>
      <c r="BE31" s="3">
        <v>25070.1</v>
      </c>
      <c r="BF31" s="3">
        <v>24997.599999999999</v>
      </c>
      <c r="BG31" s="3">
        <v>24659.8</v>
      </c>
      <c r="BH31" s="3">
        <v>24809.599999999999</v>
      </c>
      <c r="BI31" s="3">
        <v>25227.599999999999</v>
      </c>
      <c r="BJ31" s="3">
        <v>25318.400000000001</v>
      </c>
      <c r="BK31" s="3">
        <v>25579.1</v>
      </c>
      <c r="BL31" s="3">
        <v>26077.3</v>
      </c>
      <c r="BM31" s="3">
        <v>26284.9</v>
      </c>
      <c r="BN31" s="3">
        <v>26851.200000000001</v>
      </c>
      <c r="BO31" s="3">
        <v>27128.2</v>
      </c>
      <c r="BP31" s="3">
        <v>27112.1</v>
      </c>
      <c r="BQ31" s="3">
        <v>26791.7</v>
      </c>
      <c r="BR31" s="3">
        <v>28277.7</v>
      </c>
      <c r="BS31" s="3">
        <v>28478.3</v>
      </c>
      <c r="BT31" s="3">
        <v>28502.1</v>
      </c>
      <c r="BU31" s="3">
        <v>29138.6</v>
      </c>
      <c r="BV31" s="3">
        <v>29387.200000000001</v>
      </c>
      <c r="BW31" s="3">
        <v>29609.8</v>
      </c>
      <c r="BX31" s="3">
        <v>29872</v>
      </c>
      <c r="BY31" s="3">
        <v>28003</v>
      </c>
      <c r="BZ31" s="3">
        <v>28335.9</v>
      </c>
      <c r="CA31" s="3">
        <v>28878.5</v>
      </c>
      <c r="CB31" s="3">
        <v>29746.3</v>
      </c>
      <c r="CC31" s="3">
        <v>30199.1</v>
      </c>
      <c r="CD31" s="3">
        <v>30897.5</v>
      </c>
      <c r="CE31" s="3">
        <v>31256.3</v>
      </c>
      <c r="CF31" s="3">
        <v>31909.599999999999</v>
      </c>
      <c r="CG31" s="3">
        <v>32567.7</v>
      </c>
      <c r="CH31" s="3">
        <v>33108.300000000003</v>
      </c>
      <c r="CI31" s="3">
        <v>33500.1</v>
      </c>
      <c r="CJ31" s="3">
        <v>33675.5</v>
      </c>
      <c r="CK31" s="3">
        <v>34062</v>
      </c>
      <c r="CL31" s="3">
        <v>34543.599999999999</v>
      </c>
      <c r="CM31" s="3">
        <v>34940.9</v>
      </c>
      <c r="CN31" s="3">
        <v>35369.800000000003</v>
      </c>
      <c r="CO31" s="3">
        <v>35735.1</v>
      </c>
      <c r="CP31" s="3">
        <v>36166.1</v>
      </c>
      <c r="CQ31" s="3">
        <v>36617</v>
      </c>
      <c r="CR31" s="3">
        <v>37186.5</v>
      </c>
      <c r="CS31" s="3">
        <v>37372.1</v>
      </c>
      <c r="CT31" s="3">
        <v>37386.699999999997</v>
      </c>
      <c r="CU31" s="3">
        <v>37479.5</v>
      </c>
      <c r="CV31" s="3">
        <v>37280.300000000003</v>
      </c>
      <c r="CW31" s="3">
        <v>37002.5</v>
      </c>
      <c r="CX31" s="3">
        <v>38208.1</v>
      </c>
      <c r="CY31" s="3">
        <v>38369.300000000003</v>
      </c>
      <c r="CZ31" s="3">
        <v>38844.199999999997</v>
      </c>
      <c r="DA31" s="3">
        <v>39170.800000000003</v>
      </c>
      <c r="DB31" s="3">
        <v>39397</v>
      </c>
      <c r="DC31" s="3">
        <v>39598.1</v>
      </c>
      <c r="DD31" s="3">
        <v>39547.199999999997</v>
      </c>
      <c r="DE31" s="3">
        <v>39896.5</v>
      </c>
      <c r="DF31" s="3">
        <v>39600.9</v>
      </c>
      <c r="DG31" s="3">
        <v>40591.9</v>
      </c>
      <c r="DH31" s="3">
        <v>41268.199999999997</v>
      </c>
      <c r="DI31" s="3">
        <v>41361.199999999997</v>
      </c>
      <c r="DJ31" s="3">
        <v>40945.9</v>
      </c>
      <c r="DK31" s="3">
        <v>41652</v>
      </c>
      <c r="DL31" s="3">
        <v>42126.2</v>
      </c>
      <c r="DM31" s="3">
        <v>42545.7</v>
      </c>
      <c r="DN31" s="3">
        <v>42738.9</v>
      </c>
      <c r="DO31" s="3">
        <v>43292.7</v>
      </c>
      <c r="DP31" s="3">
        <v>43633.7</v>
      </c>
      <c r="DQ31" s="3">
        <v>44027.1</v>
      </c>
      <c r="DR31" s="3">
        <v>43180.4</v>
      </c>
      <c r="DS31" s="3">
        <v>42526</v>
      </c>
      <c r="DT31" s="3">
        <v>43351.8</v>
      </c>
      <c r="DU31" s="3">
        <v>43991.4</v>
      </c>
      <c r="DV31" s="3">
        <v>43270.400000000001</v>
      </c>
      <c r="DW31" s="3">
        <v>43841.9</v>
      </c>
      <c r="DX31" s="3">
        <v>43644.800000000003</v>
      </c>
      <c r="DY31" s="3">
        <v>44888.4</v>
      </c>
      <c r="DZ31" s="3">
        <v>44357.9</v>
      </c>
      <c r="EA31" s="3">
        <v>45502.5</v>
      </c>
      <c r="EB31" s="3">
        <v>45795.5</v>
      </c>
      <c r="EC31" s="3">
        <v>46488.3</v>
      </c>
      <c r="ED31" s="3">
        <v>45451.5</v>
      </c>
      <c r="EE31" s="3">
        <v>44280.9</v>
      </c>
      <c r="EF31" s="3">
        <v>43449.7</v>
      </c>
      <c r="EG31" s="3">
        <v>43026.2</v>
      </c>
      <c r="EH31" s="3">
        <v>43869.2</v>
      </c>
      <c r="EI31" s="3">
        <v>44017.1</v>
      </c>
      <c r="EJ31" s="3">
        <v>43137.5</v>
      </c>
      <c r="EK31" s="3">
        <v>42615.3</v>
      </c>
      <c r="EL31" s="3">
        <v>42806.400000000001</v>
      </c>
      <c r="EM31" s="3">
        <v>44413.3</v>
      </c>
    </row>
    <row r="32" spans="1:143" ht="20.100000000000001" customHeight="1" x14ac:dyDescent="0.3">
      <c r="A32" s="4" t="s">
        <v>173</v>
      </c>
      <c r="B32" s="3">
        <v>4247.8999999999996</v>
      </c>
      <c r="C32" s="3">
        <v>4308.1000000000004</v>
      </c>
      <c r="D32" s="3">
        <v>4439.2</v>
      </c>
      <c r="E32" s="3">
        <v>4536.3</v>
      </c>
      <c r="F32" s="3">
        <v>4740.3999999999996</v>
      </c>
      <c r="G32" s="3">
        <v>4840.1000000000004</v>
      </c>
      <c r="H32" s="3">
        <v>5001.3999999999996</v>
      </c>
      <c r="I32" s="3">
        <v>5063.2</v>
      </c>
      <c r="J32" s="3">
        <v>5177.8</v>
      </c>
      <c r="K32" s="3">
        <v>5302.8</v>
      </c>
      <c r="L32" s="3">
        <v>5442.7</v>
      </c>
      <c r="M32" s="3">
        <v>5453.5</v>
      </c>
      <c r="N32" s="3">
        <v>5483.4</v>
      </c>
      <c r="O32" s="3">
        <v>5607.1</v>
      </c>
      <c r="P32" s="3">
        <v>5712.2</v>
      </c>
      <c r="Q32" s="3">
        <v>5957.6</v>
      </c>
      <c r="R32" s="3">
        <v>6045.4</v>
      </c>
      <c r="S32" s="3">
        <v>6244.1</v>
      </c>
      <c r="T32" s="3">
        <v>6339.2</v>
      </c>
      <c r="U32" s="3">
        <v>6570.4</v>
      </c>
      <c r="V32" s="3">
        <v>6841.2</v>
      </c>
      <c r="W32" s="3">
        <v>6829.6</v>
      </c>
      <c r="X32" s="3">
        <v>7041.3</v>
      </c>
      <c r="Y32" s="3">
        <v>7237.8</v>
      </c>
      <c r="Z32" s="3">
        <v>7377.1</v>
      </c>
      <c r="AA32" s="3">
        <v>7446.6</v>
      </c>
      <c r="AB32" s="3">
        <v>7580.4</v>
      </c>
      <c r="AC32" s="3">
        <v>7714.1</v>
      </c>
      <c r="AD32" s="3">
        <v>7760.9</v>
      </c>
      <c r="AE32" s="3">
        <v>7805.8</v>
      </c>
      <c r="AF32" s="3">
        <v>7819.9</v>
      </c>
      <c r="AG32" s="3">
        <v>7899.4</v>
      </c>
      <c r="AH32" s="3">
        <v>7005.1</v>
      </c>
      <c r="AI32" s="3">
        <v>6797.6</v>
      </c>
      <c r="AJ32" s="3">
        <v>7013.3</v>
      </c>
      <c r="AK32" s="3">
        <v>7084.4</v>
      </c>
      <c r="AL32" s="3">
        <v>8482.6</v>
      </c>
      <c r="AM32" s="3">
        <v>8385.5</v>
      </c>
      <c r="AN32" s="3">
        <v>8686.9</v>
      </c>
      <c r="AO32" s="3">
        <v>8877.5</v>
      </c>
      <c r="AP32" s="3">
        <v>8700.5</v>
      </c>
      <c r="AQ32" s="3">
        <v>8978.4</v>
      </c>
      <c r="AR32" s="3">
        <v>9170.7000000000007</v>
      </c>
      <c r="AS32" s="3">
        <v>9397.1</v>
      </c>
      <c r="AT32" s="3">
        <v>9755.5</v>
      </c>
      <c r="AU32" s="3">
        <v>10054.5</v>
      </c>
      <c r="AV32" s="3">
        <v>10157.200000000001</v>
      </c>
      <c r="AW32" s="3">
        <v>10321</v>
      </c>
      <c r="AX32" s="3">
        <v>10471.5</v>
      </c>
      <c r="AY32" s="3">
        <v>11011.8</v>
      </c>
      <c r="AZ32" s="3">
        <v>10796.5</v>
      </c>
      <c r="BA32" s="3">
        <v>10731.9</v>
      </c>
      <c r="BB32" s="3">
        <v>10758.2</v>
      </c>
      <c r="BC32" s="3">
        <v>10691.3</v>
      </c>
      <c r="BD32" s="3">
        <v>10628.8</v>
      </c>
      <c r="BE32" s="3">
        <v>10542.8</v>
      </c>
      <c r="BF32" s="3">
        <v>10626.5</v>
      </c>
      <c r="BG32" s="3">
        <v>10713.1</v>
      </c>
      <c r="BH32" s="3">
        <v>10676.5</v>
      </c>
      <c r="BI32" s="3">
        <v>10552</v>
      </c>
      <c r="BJ32" s="3">
        <v>10085.299999999999</v>
      </c>
      <c r="BK32" s="3">
        <v>10187.200000000001</v>
      </c>
      <c r="BL32" s="3">
        <v>10166.200000000001</v>
      </c>
      <c r="BM32" s="3">
        <v>10486.8</v>
      </c>
      <c r="BN32" s="3">
        <v>10324.5</v>
      </c>
      <c r="BO32" s="3">
        <v>10306.200000000001</v>
      </c>
      <c r="BP32" s="3">
        <v>10453.200000000001</v>
      </c>
      <c r="BQ32" s="3">
        <v>10539.6</v>
      </c>
      <c r="BR32" s="3">
        <v>10712.4</v>
      </c>
      <c r="BS32" s="3">
        <v>10755.1</v>
      </c>
      <c r="BT32" s="3">
        <v>10799.4</v>
      </c>
      <c r="BU32" s="3">
        <v>11093.5</v>
      </c>
      <c r="BV32" s="3">
        <v>11132.4</v>
      </c>
      <c r="BW32" s="3">
        <v>10964.4</v>
      </c>
      <c r="BX32" s="3">
        <v>11030.7</v>
      </c>
      <c r="BY32" s="3">
        <v>10829.3</v>
      </c>
      <c r="BZ32" s="3">
        <v>10871.7</v>
      </c>
      <c r="CA32" s="3">
        <v>10919.7</v>
      </c>
      <c r="CB32" s="3">
        <v>10783.5</v>
      </c>
      <c r="CC32" s="3">
        <v>10794</v>
      </c>
      <c r="CD32" s="3">
        <v>11153.4</v>
      </c>
      <c r="CE32" s="3">
        <v>11054.4</v>
      </c>
      <c r="CF32" s="3">
        <v>11055.5</v>
      </c>
      <c r="CG32" s="3">
        <v>11012.4</v>
      </c>
      <c r="CH32" s="3">
        <v>10995.5</v>
      </c>
      <c r="CI32" s="3">
        <v>10976.6</v>
      </c>
      <c r="CJ32" s="3">
        <v>10899</v>
      </c>
      <c r="CK32" s="3">
        <v>10817.2</v>
      </c>
      <c r="CL32" s="3">
        <v>10949.6</v>
      </c>
      <c r="CM32" s="3">
        <v>11095.2</v>
      </c>
      <c r="CN32" s="3">
        <v>11099.3</v>
      </c>
      <c r="CO32" s="3">
        <v>10993.3</v>
      </c>
      <c r="CP32" s="3">
        <v>10863</v>
      </c>
      <c r="CQ32" s="3">
        <v>10952.6</v>
      </c>
      <c r="CR32" s="3">
        <v>10931.2</v>
      </c>
      <c r="CS32" s="3">
        <v>11074.2</v>
      </c>
      <c r="CT32" s="3">
        <v>11088.1</v>
      </c>
      <c r="CU32" s="3">
        <v>11063.2</v>
      </c>
      <c r="CV32" s="3">
        <v>11327.1</v>
      </c>
      <c r="CW32" s="3">
        <v>11258.6</v>
      </c>
      <c r="CX32" s="3">
        <v>11239.4</v>
      </c>
      <c r="CY32" s="3">
        <v>11062.4</v>
      </c>
      <c r="CZ32" s="3">
        <v>11150.4</v>
      </c>
      <c r="DA32" s="3">
        <v>11444.7</v>
      </c>
      <c r="DB32" s="3">
        <v>11643.7</v>
      </c>
      <c r="DC32" s="3">
        <v>11718.3</v>
      </c>
      <c r="DD32" s="3">
        <v>11786.2</v>
      </c>
      <c r="DE32" s="3">
        <v>11640.9</v>
      </c>
      <c r="DF32" s="3">
        <v>11651.2</v>
      </c>
      <c r="DG32" s="3">
        <v>11769.7</v>
      </c>
      <c r="DH32" s="3">
        <v>11932.2</v>
      </c>
      <c r="DI32" s="3">
        <v>11692.3</v>
      </c>
      <c r="DJ32" s="3">
        <v>12130.2</v>
      </c>
      <c r="DK32" s="3">
        <v>12139.3</v>
      </c>
      <c r="DL32" s="3">
        <v>12211.2</v>
      </c>
      <c r="DM32" s="3">
        <v>12284</v>
      </c>
      <c r="DN32" s="3">
        <v>12704.2</v>
      </c>
      <c r="DO32" s="3">
        <v>12571.2</v>
      </c>
      <c r="DP32" s="3">
        <v>12518.3</v>
      </c>
      <c r="DQ32" s="3">
        <v>12778.4</v>
      </c>
      <c r="DR32" s="3">
        <v>11081.3</v>
      </c>
      <c r="DS32" s="3">
        <v>10755.5</v>
      </c>
      <c r="DT32" s="3">
        <v>10408.6</v>
      </c>
      <c r="DU32" s="3">
        <v>9576.2000000000007</v>
      </c>
      <c r="DV32" s="3">
        <v>9949.2999999999993</v>
      </c>
      <c r="DW32" s="3">
        <v>10811.6</v>
      </c>
      <c r="DX32" s="3">
        <v>11069</v>
      </c>
      <c r="DY32" s="3">
        <v>12218</v>
      </c>
      <c r="DZ32" s="3">
        <v>11146.4</v>
      </c>
      <c r="EA32" s="3">
        <v>12484.5</v>
      </c>
      <c r="EB32" s="3">
        <v>13124.4</v>
      </c>
      <c r="EC32" s="3">
        <v>13210.9</v>
      </c>
      <c r="ED32" s="3">
        <v>12742.9</v>
      </c>
      <c r="EE32" s="3">
        <v>11872.6</v>
      </c>
      <c r="EF32" s="3">
        <v>12152.5</v>
      </c>
      <c r="EG32" s="3">
        <v>12455.7</v>
      </c>
      <c r="EH32" s="3">
        <v>12582.9</v>
      </c>
      <c r="EI32" s="3">
        <v>11745.6</v>
      </c>
      <c r="EJ32" s="3">
        <v>11918.5</v>
      </c>
      <c r="EK32" s="3">
        <v>12250.8</v>
      </c>
      <c r="EL32" s="3">
        <v>12065.9</v>
      </c>
      <c r="EM32" s="3">
        <v>11502.8</v>
      </c>
    </row>
    <row r="33" spans="1:143" ht="20.100000000000001" customHeight="1" x14ac:dyDescent="0.3">
      <c r="A33" s="4" t="s">
        <v>174</v>
      </c>
      <c r="B33" s="3">
        <v>4189.8</v>
      </c>
      <c r="C33" s="3">
        <v>4267.2</v>
      </c>
      <c r="D33" s="3">
        <v>4386.3</v>
      </c>
      <c r="E33" s="3">
        <v>4468.3</v>
      </c>
      <c r="F33" s="3">
        <v>4510.2</v>
      </c>
      <c r="G33" s="3">
        <v>4647</v>
      </c>
      <c r="H33" s="3">
        <v>4745.7</v>
      </c>
      <c r="I33" s="3">
        <v>4848.3999999999996</v>
      </c>
      <c r="J33" s="3">
        <v>4884.6000000000004</v>
      </c>
      <c r="K33" s="3">
        <v>5007.1000000000004</v>
      </c>
      <c r="L33" s="3">
        <v>5054</v>
      </c>
      <c r="M33" s="3">
        <v>5068.7</v>
      </c>
      <c r="N33" s="3">
        <v>4991.8</v>
      </c>
      <c r="O33" s="3">
        <v>5104.5</v>
      </c>
      <c r="P33" s="3">
        <v>5211.8999999999996</v>
      </c>
      <c r="Q33" s="3">
        <v>5258.5</v>
      </c>
      <c r="R33" s="3">
        <v>5364.9</v>
      </c>
      <c r="S33" s="3">
        <v>5469.5</v>
      </c>
      <c r="T33" s="3">
        <v>5593.9</v>
      </c>
      <c r="U33" s="3">
        <v>5782.5</v>
      </c>
      <c r="V33" s="3">
        <v>5870.2</v>
      </c>
      <c r="W33" s="3">
        <v>5981.8</v>
      </c>
      <c r="X33" s="3">
        <v>6141.4</v>
      </c>
      <c r="Y33" s="3">
        <v>6334.9</v>
      </c>
      <c r="Z33" s="3">
        <v>6398</v>
      </c>
      <c r="AA33" s="3">
        <v>6452.3</v>
      </c>
      <c r="AB33" s="3">
        <v>6630.1</v>
      </c>
      <c r="AC33" s="3">
        <v>6831.1</v>
      </c>
      <c r="AD33" s="3">
        <v>7071</v>
      </c>
      <c r="AE33" s="3">
        <v>7209.5</v>
      </c>
      <c r="AF33" s="3">
        <v>7266.6</v>
      </c>
      <c r="AG33" s="3">
        <v>7398.2</v>
      </c>
      <c r="AH33" s="3">
        <v>6589.1</v>
      </c>
      <c r="AI33" s="3">
        <v>6755.5</v>
      </c>
      <c r="AJ33" s="3">
        <v>6935.3</v>
      </c>
      <c r="AK33" s="3">
        <v>7164.9</v>
      </c>
      <c r="AL33" s="3">
        <v>7539.3</v>
      </c>
      <c r="AM33" s="3">
        <v>7990.5</v>
      </c>
      <c r="AN33" s="3">
        <v>8147.3</v>
      </c>
      <c r="AO33" s="3">
        <v>8373.6</v>
      </c>
      <c r="AP33" s="3">
        <v>8633.4</v>
      </c>
      <c r="AQ33" s="3">
        <v>8850.2999999999993</v>
      </c>
      <c r="AR33" s="3">
        <v>8994.7999999999993</v>
      </c>
      <c r="AS33" s="3">
        <v>9283.2000000000007</v>
      </c>
      <c r="AT33" s="3">
        <v>8911.5</v>
      </c>
      <c r="AU33" s="3">
        <v>9353.1</v>
      </c>
      <c r="AV33" s="3">
        <v>9637.7999999999993</v>
      </c>
      <c r="AW33" s="3">
        <v>9740.5</v>
      </c>
      <c r="AX33" s="3">
        <v>9640.7000000000007</v>
      </c>
      <c r="AY33" s="3">
        <v>9806.7000000000007</v>
      </c>
      <c r="AZ33" s="3">
        <v>9925.7999999999993</v>
      </c>
      <c r="BA33" s="3">
        <v>9817</v>
      </c>
      <c r="BB33" s="3">
        <v>9793.2999999999993</v>
      </c>
      <c r="BC33" s="3">
        <v>9804.7999999999993</v>
      </c>
      <c r="BD33" s="3">
        <v>10079.799999999999</v>
      </c>
      <c r="BE33" s="3">
        <v>10256.4</v>
      </c>
      <c r="BF33" s="3">
        <v>10431.1</v>
      </c>
      <c r="BG33" s="3">
        <v>10597.8</v>
      </c>
      <c r="BH33" s="3">
        <v>10630.7</v>
      </c>
      <c r="BI33" s="3">
        <v>10582.5</v>
      </c>
      <c r="BJ33" s="3">
        <v>10775.2</v>
      </c>
      <c r="BK33" s="3">
        <v>10874.4</v>
      </c>
      <c r="BL33" s="3">
        <v>11070.4</v>
      </c>
      <c r="BM33" s="3">
        <v>11230.6</v>
      </c>
      <c r="BN33" s="3">
        <v>11267.2</v>
      </c>
      <c r="BO33" s="3">
        <v>11517.9</v>
      </c>
      <c r="BP33" s="3">
        <v>11517.3</v>
      </c>
      <c r="BQ33" s="3">
        <v>11767.6</v>
      </c>
      <c r="BR33" s="3">
        <v>12095.9</v>
      </c>
      <c r="BS33" s="3">
        <v>12307.7</v>
      </c>
      <c r="BT33" s="3">
        <v>12464.6</v>
      </c>
      <c r="BU33" s="3">
        <v>12533</v>
      </c>
      <c r="BV33" s="3">
        <v>12979.8</v>
      </c>
      <c r="BW33" s="3">
        <v>13140.2</v>
      </c>
      <c r="BX33" s="3">
        <v>13322.5</v>
      </c>
      <c r="BY33" s="3">
        <v>12807.9</v>
      </c>
      <c r="BZ33" s="3">
        <v>12046.5</v>
      </c>
      <c r="CA33" s="3">
        <v>12141.8</v>
      </c>
      <c r="CB33" s="3">
        <v>12824.6</v>
      </c>
      <c r="CC33" s="3">
        <v>13192.5</v>
      </c>
      <c r="CD33" s="3">
        <v>13869.8</v>
      </c>
      <c r="CE33" s="3">
        <v>14470.2</v>
      </c>
      <c r="CF33" s="3">
        <v>14394.8</v>
      </c>
      <c r="CG33" s="3">
        <v>14606.3</v>
      </c>
      <c r="CH33" s="3">
        <v>14662.9</v>
      </c>
      <c r="CI33" s="3">
        <v>15063</v>
      </c>
      <c r="CJ33" s="3">
        <v>15245</v>
      </c>
      <c r="CK33" s="3">
        <v>15377.1</v>
      </c>
      <c r="CL33" s="3">
        <v>15728.9</v>
      </c>
      <c r="CM33" s="3">
        <v>15919.6</v>
      </c>
      <c r="CN33" s="3">
        <v>16119.1</v>
      </c>
      <c r="CO33" s="3">
        <v>16315.4</v>
      </c>
      <c r="CP33" s="3">
        <v>16567</v>
      </c>
      <c r="CQ33" s="3">
        <v>16382.7</v>
      </c>
      <c r="CR33" s="3">
        <v>16330.6</v>
      </c>
      <c r="CS33" s="3">
        <v>16281.9</v>
      </c>
      <c r="CT33" s="3">
        <v>16590.599999999999</v>
      </c>
      <c r="CU33" s="3">
        <v>16624.8</v>
      </c>
      <c r="CV33" s="3">
        <v>16808.5</v>
      </c>
      <c r="CW33" s="3">
        <v>17112.400000000001</v>
      </c>
      <c r="CX33" s="3">
        <v>16893.8</v>
      </c>
      <c r="CY33" s="3">
        <v>17061.099999999999</v>
      </c>
      <c r="CZ33" s="3">
        <v>17504.2</v>
      </c>
      <c r="DA33" s="3">
        <v>17520.5</v>
      </c>
      <c r="DB33" s="3">
        <v>17465.3</v>
      </c>
      <c r="DC33" s="3">
        <v>17655</v>
      </c>
      <c r="DD33" s="3">
        <v>17543</v>
      </c>
      <c r="DE33" s="3">
        <v>17173.8</v>
      </c>
      <c r="DF33" s="3">
        <v>17854.900000000001</v>
      </c>
      <c r="DG33" s="3">
        <v>17826.5</v>
      </c>
      <c r="DH33" s="3">
        <v>18060.5</v>
      </c>
      <c r="DI33" s="3">
        <v>18423.900000000001</v>
      </c>
      <c r="DJ33" s="3">
        <v>18394.3</v>
      </c>
      <c r="DK33" s="3">
        <v>18871.5</v>
      </c>
      <c r="DL33" s="3">
        <v>18915.2</v>
      </c>
      <c r="DM33" s="3">
        <v>19388.400000000001</v>
      </c>
      <c r="DN33" s="3">
        <v>19165.400000000001</v>
      </c>
      <c r="DO33" s="3">
        <v>19105</v>
      </c>
      <c r="DP33" s="3">
        <v>19172.599999999999</v>
      </c>
      <c r="DQ33" s="3">
        <v>19565.3</v>
      </c>
      <c r="DR33" s="3">
        <v>17739.2</v>
      </c>
      <c r="DS33" s="3">
        <v>15734.8</v>
      </c>
      <c r="DT33" s="3">
        <v>16477.8</v>
      </c>
      <c r="DU33" s="3">
        <v>16652</v>
      </c>
      <c r="DV33" s="3">
        <v>17931.8</v>
      </c>
      <c r="DW33" s="3">
        <v>18446.400000000001</v>
      </c>
      <c r="DX33" s="3">
        <v>18388.099999999999</v>
      </c>
      <c r="DY33" s="3">
        <v>18868.099999999999</v>
      </c>
      <c r="DZ33" s="3">
        <v>19369.8</v>
      </c>
      <c r="EA33" s="3">
        <v>20488.8</v>
      </c>
      <c r="EB33" s="3">
        <v>21000.3</v>
      </c>
      <c r="EC33" s="3">
        <v>21889.3</v>
      </c>
      <c r="ED33" s="3">
        <v>21960.1</v>
      </c>
      <c r="EE33" s="3">
        <v>24150.7</v>
      </c>
      <c r="EF33" s="3">
        <v>24843.9</v>
      </c>
      <c r="EG33" s="3">
        <v>25701.9</v>
      </c>
      <c r="EH33" s="3">
        <v>25232.3</v>
      </c>
      <c r="EI33" s="3">
        <v>26090.6</v>
      </c>
      <c r="EJ33" s="3">
        <v>26827.5</v>
      </c>
      <c r="EK33" s="3">
        <v>27002.1</v>
      </c>
      <c r="EL33" s="3">
        <v>26223.5</v>
      </c>
      <c r="EM33" s="3">
        <v>26764.5</v>
      </c>
    </row>
    <row r="34" spans="1:143" ht="20.100000000000001" customHeight="1" x14ac:dyDescent="0.3">
      <c r="A34" s="4" t="s">
        <v>175</v>
      </c>
      <c r="B34" s="3">
        <v>3918.9</v>
      </c>
      <c r="C34" s="3">
        <v>4006.5</v>
      </c>
      <c r="D34" s="3">
        <v>4096.2</v>
      </c>
      <c r="E34" s="3">
        <v>4268</v>
      </c>
      <c r="F34" s="3">
        <v>4390.1000000000004</v>
      </c>
      <c r="G34" s="3">
        <v>4580</v>
      </c>
      <c r="H34" s="3">
        <v>5222.5</v>
      </c>
      <c r="I34" s="3">
        <v>4739.6000000000004</v>
      </c>
      <c r="J34" s="3">
        <v>5091.8</v>
      </c>
      <c r="K34" s="3">
        <v>5414.7</v>
      </c>
      <c r="L34" s="3">
        <v>5363</v>
      </c>
      <c r="M34" s="3">
        <v>5520</v>
      </c>
      <c r="N34" s="3">
        <v>5887</v>
      </c>
      <c r="O34" s="3">
        <v>6293.1</v>
      </c>
      <c r="P34" s="3">
        <v>6336.9</v>
      </c>
      <c r="Q34" s="3">
        <v>6624.1</v>
      </c>
      <c r="R34" s="3">
        <v>6527.2</v>
      </c>
      <c r="S34" s="3">
        <v>6721</v>
      </c>
      <c r="T34" s="3">
        <v>7201.3</v>
      </c>
      <c r="U34" s="3">
        <v>7574.9</v>
      </c>
      <c r="V34" s="3">
        <v>7835.7</v>
      </c>
      <c r="W34" s="3">
        <v>7588</v>
      </c>
      <c r="X34" s="3">
        <v>8259.2999999999993</v>
      </c>
      <c r="Y34" s="3">
        <v>8190.8</v>
      </c>
      <c r="Z34" s="3">
        <v>8238.2999999999993</v>
      </c>
      <c r="AA34" s="3">
        <v>8345</v>
      </c>
      <c r="AB34" s="3">
        <v>8585</v>
      </c>
      <c r="AC34" s="3">
        <v>8516.4</v>
      </c>
      <c r="AD34" s="3">
        <v>8676.5</v>
      </c>
      <c r="AE34" s="3">
        <v>8830</v>
      </c>
      <c r="AF34" s="3">
        <v>8807.6</v>
      </c>
      <c r="AG34" s="3">
        <v>8477.7000000000007</v>
      </c>
      <c r="AH34" s="3">
        <v>8021.2</v>
      </c>
      <c r="AI34" s="3">
        <v>7961.9</v>
      </c>
      <c r="AJ34" s="3">
        <v>8358.1</v>
      </c>
      <c r="AK34" s="3">
        <v>8827.9</v>
      </c>
      <c r="AL34" s="3">
        <v>8633.4</v>
      </c>
      <c r="AM34" s="3">
        <v>8937.9</v>
      </c>
      <c r="AN34" s="3">
        <v>9141.1</v>
      </c>
      <c r="AO34" s="3">
        <v>9135</v>
      </c>
      <c r="AP34" s="3">
        <v>9690.7999999999993</v>
      </c>
      <c r="AQ34" s="3">
        <v>8957.6</v>
      </c>
      <c r="AR34" s="3">
        <v>8157.3</v>
      </c>
      <c r="AS34" s="3">
        <v>8461.1</v>
      </c>
      <c r="AT34" s="3">
        <v>9825.5</v>
      </c>
      <c r="AU34" s="3">
        <v>9373.2000000000007</v>
      </c>
      <c r="AV34" s="3">
        <v>9185.7999999999993</v>
      </c>
      <c r="AW34" s="3">
        <v>9868.4</v>
      </c>
      <c r="AX34" s="3">
        <v>11682.5</v>
      </c>
      <c r="AY34" s="3">
        <v>11705.6</v>
      </c>
      <c r="AZ34" s="3">
        <v>12092.4</v>
      </c>
      <c r="BA34" s="3">
        <v>11883.5</v>
      </c>
      <c r="BB34" s="3">
        <v>11662.8</v>
      </c>
      <c r="BC34" s="3">
        <v>11586.6</v>
      </c>
      <c r="BD34" s="3">
        <v>11923.5</v>
      </c>
      <c r="BE34" s="3">
        <v>11995.5</v>
      </c>
      <c r="BF34" s="3">
        <v>11519.4</v>
      </c>
      <c r="BG34" s="3">
        <v>11818.6</v>
      </c>
      <c r="BH34" s="3">
        <v>11924.6</v>
      </c>
      <c r="BI34" s="3">
        <v>11839.3</v>
      </c>
      <c r="BJ34" s="3">
        <v>12104.8</v>
      </c>
      <c r="BK34" s="3">
        <v>12345.3</v>
      </c>
      <c r="BL34" s="3">
        <v>12838.6</v>
      </c>
      <c r="BM34" s="3">
        <v>12950.8</v>
      </c>
      <c r="BN34" s="3">
        <v>12963.3</v>
      </c>
      <c r="BO34" s="3">
        <v>13098.9</v>
      </c>
      <c r="BP34" s="3">
        <v>13087.7</v>
      </c>
      <c r="BQ34" s="3">
        <v>13417.3</v>
      </c>
      <c r="BR34" s="3">
        <v>13913</v>
      </c>
      <c r="BS34" s="3">
        <v>14602.6</v>
      </c>
      <c r="BT34" s="3">
        <v>15164.4</v>
      </c>
      <c r="BU34" s="3">
        <v>15483.5</v>
      </c>
      <c r="BV34" s="3">
        <v>15494.1</v>
      </c>
      <c r="BW34" s="3">
        <v>15500.7</v>
      </c>
      <c r="BX34" s="3">
        <v>15935.4</v>
      </c>
      <c r="BY34" s="3">
        <v>15954.1</v>
      </c>
      <c r="BZ34" s="3">
        <v>15966.9</v>
      </c>
      <c r="CA34" s="3">
        <v>16704.8</v>
      </c>
      <c r="CB34" s="3">
        <v>16998.8</v>
      </c>
      <c r="CC34" s="3">
        <v>16860.099999999999</v>
      </c>
      <c r="CD34" s="3">
        <v>17088.599999999999</v>
      </c>
      <c r="CE34" s="3">
        <v>16950.3</v>
      </c>
      <c r="CF34" s="3">
        <v>17003</v>
      </c>
      <c r="CG34" s="3">
        <v>17566.7</v>
      </c>
      <c r="CH34" s="3">
        <v>17541.599999999999</v>
      </c>
      <c r="CI34" s="3">
        <v>17342.099999999999</v>
      </c>
      <c r="CJ34" s="3">
        <v>17408.5</v>
      </c>
      <c r="CK34" s="3">
        <v>17966.400000000001</v>
      </c>
      <c r="CL34" s="3">
        <v>18378.099999999999</v>
      </c>
      <c r="CM34" s="3">
        <v>18302.599999999999</v>
      </c>
      <c r="CN34" s="3">
        <v>18399.2</v>
      </c>
      <c r="CO34" s="3">
        <v>18676.900000000001</v>
      </c>
      <c r="CP34" s="3">
        <v>18985.2</v>
      </c>
      <c r="CQ34" s="3">
        <v>19152.900000000001</v>
      </c>
      <c r="CR34" s="3">
        <v>19224.2</v>
      </c>
      <c r="CS34" s="3">
        <v>19428.400000000001</v>
      </c>
      <c r="CT34" s="3">
        <v>19687.099999999999</v>
      </c>
      <c r="CU34" s="3">
        <v>20173.3</v>
      </c>
      <c r="CV34" s="3">
        <v>20494.599999999999</v>
      </c>
      <c r="CW34" s="3">
        <v>20998.6</v>
      </c>
      <c r="CX34" s="3">
        <v>21270.5</v>
      </c>
      <c r="CY34" s="3">
        <v>21806.3</v>
      </c>
      <c r="CZ34" s="3">
        <v>22193.8</v>
      </c>
      <c r="DA34" s="3">
        <v>21924.2</v>
      </c>
      <c r="DB34" s="3">
        <v>21961.5</v>
      </c>
      <c r="DC34" s="3">
        <v>21787</v>
      </c>
      <c r="DD34" s="3">
        <v>22070.400000000001</v>
      </c>
      <c r="DE34" s="3">
        <v>22763.8</v>
      </c>
      <c r="DF34" s="3">
        <v>22539.8</v>
      </c>
      <c r="DG34" s="3">
        <v>23044.7</v>
      </c>
      <c r="DH34" s="3">
        <v>23203.5</v>
      </c>
      <c r="DI34" s="3">
        <v>23318</v>
      </c>
      <c r="DJ34" s="3">
        <v>24180.799999999999</v>
      </c>
      <c r="DK34" s="3">
        <v>24187.3</v>
      </c>
      <c r="DL34" s="3">
        <v>24419</v>
      </c>
      <c r="DM34" s="3">
        <v>24431.3</v>
      </c>
      <c r="DN34" s="3">
        <v>24560.2</v>
      </c>
      <c r="DO34" s="3">
        <v>25014</v>
      </c>
      <c r="DP34" s="3">
        <v>25055.1</v>
      </c>
      <c r="DQ34" s="3">
        <v>25538.400000000001</v>
      </c>
      <c r="DR34" s="3">
        <v>26367.200000000001</v>
      </c>
      <c r="DS34" s="3">
        <v>27267.8</v>
      </c>
      <c r="DT34" s="3">
        <v>27870.3</v>
      </c>
      <c r="DU34" s="3">
        <v>28511.1</v>
      </c>
      <c r="DV34" s="3">
        <v>28651.599999999999</v>
      </c>
      <c r="DW34" s="3">
        <v>28838.3</v>
      </c>
      <c r="DX34" s="3">
        <v>29710.9</v>
      </c>
      <c r="DY34" s="3">
        <v>30211</v>
      </c>
      <c r="DZ34" s="3">
        <v>30121.9</v>
      </c>
      <c r="EA34" s="3">
        <v>29981.1</v>
      </c>
      <c r="EB34" s="3">
        <v>29693.5</v>
      </c>
      <c r="EC34" s="3">
        <v>30849.1</v>
      </c>
      <c r="ED34" s="3">
        <v>30535.599999999999</v>
      </c>
      <c r="EE34" s="3">
        <v>30656.3</v>
      </c>
      <c r="EF34" s="3">
        <v>30455.599999999999</v>
      </c>
      <c r="EG34" s="3">
        <v>29823.1</v>
      </c>
      <c r="EH34" s="3">
        <v>30668</v>
      </c>
      <c r="EI34" s="3">
        <v>31025.5</v>
      </c>
      <c r="EJ34" s="3">
        <v>31991.3</v>
      </c>
      <c r="EK34" s="3">
        <v>32019.5</v>
      </c>
      <c r="EL34" s="3">
        <v>32343.8</v>
      </c>
      <c r="EM34" s="3">
        <v>32571.4</v>
      </c>
    </row>
    <row r="35" spans="1:143" ht="20.100000000000001" customHeight="1" x14ac:dyDescent="0.3">
      <c r="A35" s="4" t="s">
        <v>176</v>
      </c>
      <c r="B35" s="3">
        <v>8928.7999999999993</v>
      </c>
      <c r="C35" s="3">
        <v>9124.6</v>
      </c>
      <c r="D35" s="3">
        <v>9478.7999999999993</v>
      </c>
      <c r="E35" s="3">
        <v>9651.5</v>
      </c>
      <c r="F35" s="3">
        <v>10037.4</v>
      </c>
      <c r="G35" s="3">
        <v>10209</v>
      </c>
      <c r="H35" s="3">
        <v>10387.9</v>
      </c>
      <c r="I35" s="3">
        <v>10752.4</v>
      </c>
      <c r="J35" s="3">
        <v>10937.3</v>
      </c>
      <c r="K35" s="3">
        <v>11212.7</v>
      </c>
      <c r="L35" s="3">
        <v>11473.9</v>
      </c>
      <c r="M35" s="3">
        <v>11836</v>
      </c>
      <c r="N35" s="3">
        <v>12126.7</v>
      </c>
      <c r="O35" s="3">
        <v>12361.2</v>
      </c>
      <c r="P35" s="3">
        <v>12587.2</v>
      </c>
      <c r="Q35" s="3">
        <v>12820.3</v>
      </c>
      <c r="R35" s="3">
        <v>13145.1</v>
      </c>
      <c r="S35" s="3">
        <v>13531.4</v>
      </c>
      <c r="T35" s="3">
        <v>13915.1</v>
      </c>
      <c r="U35" s="3">
        <v>14202.5</v>
      </c>
      <c r="V35" s="3">
        <v>14591.9</v>
      </c>
      <c r="W35" s="3">
        <v>15030.3</v>
      </c>
      <c r="X35" s="3">
        <v>14998.9</v>
      </c>
      <c r="Y35" s="3">
        <v>15440.7</v>
      </c>
      <c r="Z35" s="3">
        <v>15851</v>
      </c>
      <c r="AA35" s="3">
        <v>16287.9</v>
      </c>
      <c r="AB35" s="3">
        <v>16680.400000000001</v>
      </c>
      <c r="AC35" s="3">
        <v>17177.599999999999</v>
      </c>
      <c r="AD35" s="3">
        <v>17740.599999999999</v>
      </c>
      <c r="AE35" s="3">
        <v>18251</v>
      </c>
      <c r="AF35" s="3">
        <v>18753</v>
      </c>
      <c r="AG35" s="3">
        <v>19136.599999999999</v>
      </c>
      <c r="AH35" s="3">
        <v>19438.099999999999</v>
      </c>
      <c r="AI35" s="3">
        <v>19852.400000000001</v>
      </c>
      <c r="AJ35" s="3">
        <v>20292.400000000001</v>
      </c>
      <c r="AK35" s="3">
        <v>20828.7</v>
      </c>
      <c r="AL35" s="3">
        <v>21003.7</v>
      </c>
      <c r="AM35" s="3">
        <v>21027.7</v>
      </c>
      <c r="AN35" s="3">
        <v>21047</v>
      </c>
      <c r="AO35" s="3">
        <v>21293</v>
      </c>
      <c r="AP35" s="3">
        <v>22089.5</v>
      </c>
      <c r="AQ35" s="3">
        <v>22867.1</v>
      </c>
      <c r="AR35" s="3">
        <v>23983.5</v>
      </c>
      <c r="AS35" s="3">
        <v>23102</v>
      </c>
      <c r="AT35" s="3">
        <v>23055.1</v>
      </c>
      <c r="AU35" s="3">
        <v>23343.1</v>
      </c>
      <c r="AV35" s="3">
        <v>24047.4</v>
      </c>
      <c r="AW35" s="3">
        <v>24100.5</v>
      </c>
      <c r="AX35" s="3">
        <v>23903.1</v>
      </c>
      <c r="AY35" s="3">
        <v>24346.6</v>
      </c>
      <c r="AZ35" s="3">
        <v>24600.3</v>
      </c>
      <c r="BA35" s="3">
        <v>24662.799999999999</v>
      </c>
      <c r="BB35" s="3">
        <v>24879.7</v>
      </c>
      <c r="BC35" s="3">
        <v>25112.5</v>
      </c>
      <c r="BD35" s="3">
        <v>25131.3</v>
      </c>
      <c r="BE35" s="3">
        <v>25693</v>
      </c>
      <c r="BF35" s="3">
        <v>25817.8</v>
      </c>
      <c r="BG35" s="3">
        <v>26127</v>
      </c>
      <c r="BH35" s="3">
        <v>26398.9</v>
      </c>
      <c r="BI35" s="3">
        <v>26590.9</v>
      </c>
      <c r="BJ35" s="3">
        <v>27181.3</v>
      </c>
      <c r="BK35" s="3">
        <v>27310.1</v>
      </c>
      <c r="BL35" s="3">
        <v>27694.799999999999</v>
      </c>
      <c r="BM35" s="3">
        <v>27868.1</v>
      </c>
      <c r="BN35" s="3">
        <v>28063.1</v>
      </c>
      <c r="BO35" s="3">
        <v>28441.200000000001</v>
      </c>
      <c r="BP35" s="3">
        <v>28723.5</v>
      </c>
      <c r="BQ35" s="3">
        <v>29419.9</v>
      </c>
      <c r="BR35" s="3">
        <v>28974.7</v>
      </c>
      <c r="BS35" s="3">
        <v>29068.3</v>
      </c>
      <c r="BT35" s="3">
        <v>29700</v>
      </c>
      <c r="BU35" s="3">
        <v>29742.5</v>
      </c>
      <c r="BV35" s="3">
        <v>30299.7</v>
      </c>
      <c r="BW35" s="3">
        <v>30489.9</v>
      </c>
      <c r="BX35" s="3">
        <v>30507</v>
      </c>
      <c r="BY35" s="3">
        <v>30539.200000000001</v>
      </c>
      <c r="BZ35" s="3">
        <v>30265.4</v>
      </c>
      <c r="CA35" s="3">
        <v>30468.799999999999</v>
      </c>
      <c r="CB35" s="3">
        <v>30951.200000000001</v>
      </c>
      <c r="CC35" s="3">
        <v>31332.3</v>
      </c>
      <c r="CD35" s="3">
        <v>31314.7</v>
      </c>
      <c r="CE35" s="3">
        <v>30943.599999999999</v>
      </c>
      <c r="CF35" s="3">
        <v>30715.4</v>
      </c>
      <c r="CG35" s="3">
        <v>30852.3</v>
      </c>
      <c r="CH35" s="3">
        <v>32071.9</v>
      </c>
      <c r="CI35" s="3">
        <v>31935</v>
      </c>
      <c r="CJ35" s="3">
        <v>31957.7</v>
      </c>
      <c r="CK35" s="3">
        <v>31598</v>
      </c>
      <c r="CL35" s="3">
        <v>32014.9</v>
      </c>
      <c r="CM35" s="3">
        <v>32001.8</v>
      </c>
      <c r="CN35" s="3">
        <v>32126.6</v>
      </c>
      <c r="CO35" s="3">
        <v>32171.599999999999</v>
      </c>
      <c r="CP35" s="3">
        <v>31944.6</v>
      </c>
      <c r="CQ35" s="3">
        <v>32086.6</v>
      </c>
      <c r="CR35" s="3">
        <v>32241.3</v>
      </c>
      <c r="CS35" s="3">
        <v>32583.599999999999</v>
      </c>
      <c r="CT35" s="3">
        <v>33002.699999999997</v>
      </c>
      <c r="CU35" s="3">
        <v>33248.400000000001</v>
      </c>
      <c r="CV35" s="3">
        <v>33405.699999999997</v>
      </c>
      <c r="CW35" s="3">
        <v>33622.1</v>
      </c>
      <c r="CX35" s="3">
        <v>33632.400000000001</v>
      </c>
      <c r="CY35" s="3">
        <v>33860.699999999997</v>
      </c>
      <c r="CZ35" s="3">
        <v>34177.599999999999</v>
      </c>
      <c r="DA35" s="3">
        <v>34738.800000000003</v>
      </c>
      <c r="DB35" s="3">
        <v>34905.1</v>
      </c>
      <c r="DC35" s="3">
        <v>35517.9</v>
      </c>
      <c r="DD35" s="3">
        <v>36108.800000000003</v>
      </c>
      <c r="DE35" s="3">
        <v>36299.199999999997</v>
      </c>
      <c r="DF35" s="3">
        <v>36809.5</v>
      </c>
      <c r="DG35" s="3">
        <v>36631.800000000003</v>
      </c>
      <c r="DH35" s="3">
        <v>36962.300000000003</v>
      </c>
      <c r="DI35" s="3">
        <v>37073.699999999997</v>
      </c>
      <c r="DJ35" s="3">
        <v>38194.800000000003</v>
      </c>
      <c r="DK35" s="3">
        <v>38046.1</v>
      </c>
      <c r="DL35" s="3">
        <v>37976.5</v>
      </c>
      <c r="DM35" s="3">
        <v>38185.4</v>
      </c>
      <c r="DN35" s="3">
        <v>38618.1</v>
      </c>
      <c r="DO35" s="3">
        <v>38590.400000000001</v>
      </c>
      <c r="DP35" s="3">
        <v>38815.599999999999</v>
      </c>
      <c r="DQ35" s="3">
        <v>39417.4</v>
      </c>
      <c r="DR35" s="3">
        <v>39597.599999999999</v>
      </c>
      <c r="DS35" s="3">
        <v>40184</v>
      </c>
      <c r="DT35" s="3">
        <v>40686.9</v>
      </c>
      <c r="DU35" s="3">
        <v>40561.599999999999</v>
      </c>
      <c r="DV35" s="3">
        <v>41030.800000000003</v>
      </c>
      <c r="DW35" s="3">
        <v>41299.9</v>
      </c>
      <c r="DX35" s="3">
        <v>40809</v>
      </c>
      <c r="DY35" s="3">
        <v>40601.4</v>
      </c>
      <c r="DZ35" s="3">
        <v>40249.4</v>
      </c>
      <c r="EA35" s="3">
        <v>39974.699999999997</v>
      </c>
      <c r="EB35" s="3">
        <v>40058.699999999997</v>
      </c>
      <c r="EC35" s="3">
        <v>40164.9</v>
      </c>
      <c r="ED35" s="3">
        <v>40192.9</v>
      </c>
      <c r="EE35" s="3">
        <v>40201.4</v>
      </c>
      <c r="EF35" s="3">
        <v>40495.4</v>
      </c>
      <c r="EG35" s="3">
        <v>40701.9</v>
      </c>
      <c r="EH35" s="3">
        <v>40964.199999999997</v>
      </c>
      <c r="EI35" s="3">
        <v>41566.400000000001</v>
      </c>
      <c r="EJ35" s="3">
        <v>41165.300000000003</v>
      </c>
      <c r="EK35" s="3">
        <v>41114.1</v>
      </c>
      <c r="EL35" s="3">
        <v>40703.300000000003</v>
      </c>
      <c r="EM35" s="3">
        <v>41078.5</v>
      </c>
    </row>
    <row r="36" spans="1:143" ht="20.100000000000001" customHeight="1" x14ac:dyDescent="0.3">
      <c r="A36" s="4" t="s">
        <v>177</v>
      </c>
      <c r="B36" s="3">
        <v>1222.2</v>
      </c>
      <c r="C36" s="3">
        <v>1276.5999999999999</v>
      </c>
      <c r="D36" s="3">
        <v>1301</v>
      </c>
      <c r="E36" s="3">
        <v>1385</v>
      </c>
      <c r="F36" s="3">
        <v>1469.5</v>
      </c>
      <c r="G36" s="3">
        <v>1531.8</v>
      </c>
      <c r="H36" s="3">
        <v>1550.9</v>
      </c>
      <c r="I36" s="3">
        <v>1600</v>
      </c>
      <c r="J36" s="3">
        <v>1666</v>
      </c>
      <c r="K36" s="3">
        <v>1739.8</v>
      </c>
      <c r="L36" s="3">
        <v>1779.7</v>
      </c>
      <c r="M36" s="3">
        <v>1839.2</v>
      </c>
      <c r="N36" s="3">
        <v>1890</v>
      </c>
      <c r="O36" s="3">
        <v>1947.6</v>
      </c>
      <c r="P36" s="3">
        <v>2053.3000000000002</v>
      </c>
      <c r="Q36" s="3">
        <v>2100.9</v>
      </c>
      <c r="R36" s="3">
        <v>2252.1999999999998</v>
      </c>
      <c r="S36" s="3">
        <v>2378.1</v>
      </c>
      <c r="T36" s="3">
        <v>2455.6999999999998</v>
      </c>
      <c r="U36" s="3">
        <v>2580</v>
      </c>
      <c r="V36" s="3">
        <v>2600.8000000000002</v>
      </c>
      <c r="W36" s="3">
        <v>2755.1</v>
      </c>
      <c r="X36" s="3">
        <v>2976.8</v>
      </c>
      <c r="Y36" s="3">
        <v>3043.9</v>
      </c>
      <c r="Z36" s="3">
        <v>3187.3</v>
      </c>
      <c r="AA36" s="3">
        <v>3343.4</v>
      </c>
      <c r="AB36" s="3">
        <v>3624.5</v>
      </c>
      <c r="AC36" s="3">
        <v>3625.6</v>
      </c>
      <c r="AD36" s="3">
        <v>3654.8</v>
      </c>
      <c r="AE36" s="3">
        <v>3853</v>
      </c>
      <c r="AF36" s="3">
        <v>4251.3</v>
      </c>
      <c r="AG36" s="3">
        <v>4202.8</v>
      </c>
      <c r="AH36" s="3">
        <v>3823.6</v>
      </c>
      <c r="AI36" s="3">
        <v>4045.1</v>
      </c>
      <c r="AJ36" s="3">
        <v>4511.8</v>
      </c>
      <c r="AK36" s="3">
        <v>4416.6000000000004</v>
      </c>
      <c r="AL36" s="3">
        <v>4615.8999999999996</v>
      </c>
      <c r="AM36" s="3">
        <v>5030.8</v>
      </c>
      <c r="AN36" s="3">
        <v>5502.8</v>
      </c>
      <c r="AO36" s="3">
        <v>5865.8</v>
      </c>
      <c r="AP36" s="3">
        <v>6335.6</v>
      </c>
      <c r="AQ36" s="3">
        <v>6745.6</v>
      </c>
      <c r="AR36" s="3">
        <v>6968.1</v>
      </c>
      <c r="AS36" s="3">
        <v>7378.2</v>
      </c>
      <c r="AT36" s="3">
        <v>7855.1</v>
      </c>
      <c r="AU36" s="3">
        <v>8026.3</v>
      </c>
      <c r="AV36" s="3">
        <v>8161</v>
      </c>
      <c r="AW36" s="3">
        <v>8773</v>
      </c>
      <c r="AX36" s="3">
        <v>9251.4</v>
      </c>
      <c r="AY36" s="3">
        <v>9464</v>
      </c>
      <c r="AZ36" s="3">
        <v>9661.4</v>
      </c>
      <c r="BA36" s="3">
        <v>10006.6</v>
      </c>
      <c r="BB36" s="3">
        <v>9958.1</v>
      </c>
      <c r="BC36" s="3">
        <v>10073.4</v>
      </c>
      <c r="BD36" s="3">
        <v>10347.200000000001</v>
      </c>
      <c r="BE36" s="3">
        <v>10568.5</v>
      </c>
      <c r="BF36" s="3">
        <v>10900.5</v>
      </c>
      <c r="BG36" s="3">
        <v>11103.5</v>
      </c>
      <c r="BH36" s="3">
        <v>11184.2</v>
      </c>
      <c r="BI36" s="3">
        <v>11574.3</v>
      </c>
      <c r="BJ36" s="3">
        <v>11869</v>
      </c>
      <c r="BK36" s="3">
        <v>12079.3</v>
      </c>
      <c r="BL36" s="3">
        <v>12454.3</v>
      </c>
      <c r="BM36" s="3">
        <v>12729.8</v>
      </c>
      <c r="BN36" s="3">
        <v>12586.1</v>
      </c>
      <c r="BO36" s="3">
        <v>12797.5</v>
      </c>
      <c r="BP36" s="3">
        <v>12918.6</v>
      </c>
      <c r="BQ36" s="3">
        <v>13314.2</v>
      </c>
      <c r="BR36" s="3">
        <v>12998.7</v>
      </c>
      <c r="BS36" s="3">
        <v>13169.4</v>
      </c>
      <c r="BT36" s="3">
        <v>13474.4</v>
      </c>
      <c r="BU36" s="3">
        <v>13811.9</v>
      </c>
      <c r="BV36" s="3">
        <v>13860.4</v>
      </c>
      <c r="BW36" s="3">
        <v>13863.3</v>
      </c>
      <c r="BX36" s="3">
        <v>13892.7</v>
      </c>
      <c r="BY36" s="3">
        <v>13867.7</v>
      </c>
      <c r="BZ36" s="3">
        <v>14100.1</v>
      </c>
      <c r="CA36" s="3">
        <v>14374.1</v>
      </c>
      <c r="CB36" s="3">
        <v>14334.7</v>
      </c>
      <c r="CC36" s="3">
        <v>14588.6</v>
      </c>
      <c r="CD36" s="3">
        <v>14658.4</v>
      </c>
      <c r="CE36" s="3">
        <v>14718.2</v>
      </c>
      <c r="CF36" s="3">
        <v>14910.2</v>
      </c>
      <c r="CG36" s="3">
        <v>15202.1</v>
      </c>
      <c r="CH36" s="3">
        <v>15560</v>
      </c>
      <c r="CI36" s="3">
        <v>15564.2</v>
      </c>
      <c r="CJ36" s="3">
        <v>15674</v>
      </c>
      <c r="CK36" s="3">
        <v>15760.3</v>
      </c>
      <c r="CL36" s="3">
        <v>15981</v>
      </c>
      <c r="CM36" s="3">
        <v>16315.4</v>
      </c>
      <c r="CN36" s="3">
        <v>16149.8</v>
      </c>
      <c r="CO36" s="3">
        <v>16399.599999999999</v>
      </c>
      <c r="CP36" s="3">
        <v>16839.3</v>
      </c>
      <c r="CQ36" s="3">
        <v>17216</v>
      </c>
      <c r="CR36" s="3">
        <v>17063.400000000001</v>
      </c>
      <c r="CS36" s="3">
        <v>17068.900000000001</v>
      </c>
      <c r="CT36" s="3">
        <v>17181.900000000001</v>
      </c>
      <c r="CU36" s="3">
        <v>17292.099999999999</v>
      </c>
      <c r="CV36" s="3">
        <v>17308.599999999999</v>
      </c>
      <c r="CW36" s="3">
        <v>17428.900000000001</v>
      </c>
      <c r="CX36" s="3">
        <v>17081</v>
      </c>
      <c r="CY36" s="3">
        <v>17150.5</v>
      </c>
      <c r="CZ36" s="3">
        <v>17773.900000000001</v>
      </c>
      <c r="DA36" s="3">
        <v>18103.099999999999</v>
      </c>
      <c r="DB36" s="3">
        <v>18097.7</v>
      </c>
      <c r="DC36" s="3">
        <v>18550.8</v>
      </c>
      <c r="DD36" s="3">
        <v>18935.8</v>
      </c>
      <c r="DE36" s="3">
        <v>18810.7</v>
      </c>
      <c r="DF36" s="3">
        <v>18856.900000000001</v>
      </c>
      <c r="DG36" s="3">
        <v>18741.900000000001</v>
      </c>
      <c r="DH36" s="3">
        <v>19564</v>
      </c>
      <c r="DI36" s="3">
        <v>20046.2</v>
      </c>
      <c r="DJ36" s="3">
        <v>20196.599999999999</v>
      </c>
      <c r="DK36" s="3">
        <v>20152.2</v>
      </c>
      <c r="DL36" s="3">
        <v>20451.8</v>
      </c>
      <c r="DM36" s="3">
        <v>20441.900000000001</v>
      </c>
      <c r="DN36" s="3">
        <v>21191.5</v>
      </c>
      <c r="DO36" s="3">
        <v>21380.1</v>
      </c>
      <c r="DP36" s="3">
        <v>21313.8</v>
      </c>
      <c r="DQ36" s="3">
        <v>21690.400000000001</v>
      </c>
      <c r="DR36" s="3">
        <v>22263.1</v>
      </c>
      <c r="DS36" s="3">
        <v>22335.4</v>
      </c>
      <c r="DT36" s="3">
        <v>21927</v>
      </c>
      <c r="DU36" s="3">
        <v>22689.8</v>
      </c>
      <c r="DV36" s="3">
        <v>23400.5</v>
      </c>
      <c r="DW36" s="3">
        <v>24099.3</v>
      </c>
      <c r="DX36" s="3">
        <v>24622.3</v>
      </c>
      <c r="DY36" s="3">
        <v>25391.3</v>
      </c>
      <c r="DZ36" s="3">
        <v>24115</v>
      </c>
      <c r="EA36" s="3">
        <v>25096.1</v>
      </c>
      <c r="EB36" s="3">
        <v>25293.200000000001</v>
      </c>
      <c r="EC36" s="3">
        <v>25282.6</v>
      </c>
      <c r="ED36" s="3">
        <v>25685.200000000001</v>
      </c>
      <c r="EE36" s="3">
        <v>25662.7</v>
      </c>
      <c r="EF36" s="3">
        <v>26451.3</v>
      </c>
      <c r="EG36" s="3">
        <v>26605.1</v>
      </c>
      <c r="EH36" s="3">
        <v>26458.2</v>
      </c>
      <c r="EI36" s="3">
        <v>25696</v>
      </c>
      <c r="EJ36" s="3">
        <v>26217</v>
      </c>
      <c r="EK36" s="3">
        <v>26588.799999999999</v>
      </c>
      <c r="EL36" s="3">
        <v>26772</v>
      </c>
      <c r="EM36" s="3">
        <v>26562.400000000001</v>
      </c>
    </row>
    <row r="37" spans="1:143" ht="20.100000000000001" customHeight="1" x14ac:dyDescent="0.3">
      <c r="A37" s="4" t="s">
        <v>178</v>
      </c>
      <c r="B37" s="3">
        <v>186.5</v>
      </c>
      <c r="C37" s="3">
        <v>192.7</v>
      </c>
      <c r="D37" s="3">
        <v>199.8</v>
      </c>
      <c r="E37" s="3">
        <v>215.3</v>
      </c>
      <c r="F37" s="3">
        <v>224.6</v>
      </c>
      <c r="G37" s="3">
        <v>237</v>
      </c>
      <c r="H37" s="3">
        <v>240.6</v>
      </c>
      <c r="I37" s="3">
        <v>247.5</v>
      </c>
      <c r="J37" s="3">
        <v>255.8</v>
      </c>
      <c r="K37" s="3">
        <v>265.5</v>
      </c>
      <c r="L37" s="3">
        <v>274.39999999999998</v>
      </c>
      <c r="M37" s="3">
        <v>284.2</v>
      </c>
      <c r="N37" s="3">
        <v>300.10000000000002</v>
      </c>
      <c r="O37" s="3">
        <v>304</v>
      </c>
      <c r="P37" s="3">
        <v>322.2</v>
      </c>
      <c r="Q37" s="3">
        <v>334.1</v>
      </c>
      <c r="R37" s="3">
        <v>354.3</v>
      </c>
      <c r="S37" s="3">
        <v>375.8</v>
      </c>
      <c r="T37" s="3">
        <v>385.5</v>
      </c>
      <c r="U37" s="3">
        <v>409.1</v>
      </c>
      <c r="V37" s="3">
        <v>430.4</v>
      </c>
      <c r="W37" s="3">
        <v>457.5</v>
      </c>
      <c r="X37" s="3">
        <v>483.9</v>
      </c>
      <c r="Y37" s="3">
        <v>498.5</v>
      </c>
      <c r="Z37" s="3">
        <v>539.20000000000005</v>
      </c>
      <c r="AA37" s="3">
        <v>573.6</v>
      </c>
      <c r="AB37" s="3">
        <v>606.9</v>
      </c>
      <c r="AC37" s="3">
        <v>641.9</v>
      </c>
      <c r="AD37" s="3">
        <v>664.2</v>
      </c>
      <c r="AE37" s="3">
        <v>713.5</v>
      </c>
      <c r="AF37" s="3">
        <v>786</v>
      </c>
      <c r="AG37" s="3">
        <v>830.8</v>
      </c>
      <c r="AH37" s="3">
        <v>815.2</v>
      </c>
      <c r="AI37" s="3">
        <v>868.9</v>
      </c>
      <c r="AJ37" s="3">
        <v>928.8</v>
      </c>
      <c r="AK37" s="3">
        <v>958.7</v>
      </c>
      <c r="AL37" s="3">
        <v>1049.8</v>
      </c>
      <c r="AM37" s="3">
        <v>1057.5</v>
      </c>
      <c r="AN37" s="3">
        <v>1194.4000000000001</v>
      </c>
      <c r="AO37" s="3">
        <v>1300.8</v>
      </c>
      <c r="AP37" s="3">
        <v>1394.6</v>
      </c>
      <c r="AQ37" s="3">
        <v>1551.3</v>
      </c>
      <c r="AR37" s="3">
        <v>1672.1</v>
      </c>
      <c r="AS37" s="3">
        <v>1762.6</v>
      </c>
      <c r="AT37" s="3">
        <v>2072.4</v>
      </c>
      <c r="AU37" s="3">
        <v>2150.9</v>
      </c>
      <c r="AV37" s="3">
        <v>2234.6999999999998</v>
      </c>
      <c r="AW37" s="3">
        <v>2403.4</v>
      </c>
      <c r="AX37" s="3">
        <v>2595.3000000000002</v>
      </c>
      <c r="AY37" s="3">
        <v>2646.3</v>
      </c>
      <c r="AZ37" s="3">
        <v>2770.9</v>
      </c>
      <c r="BA37" s="3">
        <v>2895.4</v>
      </c>
      <c r="BB37" s="3">
        <v>2923.8</v>
      </c>
      <c r="BC37" s="3">
        <v>3018.3</v>
      </c>
      <c r="BD37" s="3">
        <v>3086.1</v>
      </c>
      <c r="BE37" s="3">
        <v>3162.6</v>
      </c>
      <c r="BF37" s="3">
        <v>3244.3</v>
      </c>
      <c r="BG37" s="3">
        <v>3302.2</v>
      </c>
      <c r="BH37" s="3">
        <v>3380.3</v>
      </c>
      <c r="BI37" s="3">
        <v>3505.7</v>
      </c>
      <c r="BJ37" s="3">
        <v>3598.4</v>
      </c>
      <c r="BK37" s="3">
        <v>3680.4</v>
      </c>
      <c r="BL37" s="3">
        <v>3732.6</v>
      </c>
      <c r="BM37" s="3">
        <v>3808.7</v>
      </c>
      <c r="BN37" s="3">
        <v>3606.6</v>
      </c>
      <c r="BO37" s="3">
        <v>3630.9</v>
      </c>
      <c r="BP37" s="3">
        <v>3692.2</v>
      </c>
      <c r="BQ37" s="3">
        <v>3695.3</v>
      </c>
      <c r="BR37" s="3">
        <v>3626.2</v>
      </c>
      <c r="BS37" s="3">
        <v>3658.6</v>
      </c>
      <c r="BT37" s="3">
        <v>3733.5</v>
      </c>
      <c r="BU37" s="3">
        <v>3812.9</v>
      </c>
      <c r="BV37" s="3">
        <v>3800.1</v>
      </c>
      <c r="BW37" s="3">
        <v>3794.1</v>
      </c>
      <c r="BX37" s="3">
        <v>3814.3</v>
      </c>
      <c r="BY37" s="3">
        <v>3801.2</v>
      </c>
      <c r="BZ37" s="3">
        <v>3800.6</v>
      </c>
      <c r="CA37" s="3">
        <v>3814.7</v>
      </c>
      <c r="CB37" s="3">
        <v>3802.5</v>
      </c>
      <c r="CC37" s="3">
        <v>3787.5</v>
      </c>
      <c r="CD37" s="3">
        <v>3962.7</v>
      </c>
      <c r="CE37" s="3">
        <v>3951.1</v>
      </c>
      <c r="CF37" s="3">
        <v>3995.6</v>
      </c>
      <c r="CG37" s="3">
        <v>3936.8</v>
      </c>
      <c r="CH37" s="3">
        <v>4072.4</v>
      </c>
      <c r="CI37" s="3">
        <v>3998.8</v>
      </c>
      <c r="CJ37" s="3">
        <v>3927.8</v>
      </c>
      <c r="CK37" s="3">
        <v>3858.7</v>
      </c>
      <c r="CL37" s="3">
        <v>3757.9</v>
      </c>
      <c r="CM37" s="3">
        <v>3796.3</v>
      </c>
      <c r="CN37" s="3">
        <v>3841</v>
      </c>
      <c r="CO37" s="3">
        <v>3972.1</v>
      </c>
      <c r="CP37" s="3">
        <v>4059.5</v>
      </c>
      <c r="CQ37" s="3">
        <v>4273.1000000000004</v>
      </c>
      <c r="CR37" s="3">
        <v>4173.3</v>
      </c>
      <c r="CS37" s="3">
        <v>4080.6</v>
      </c>
      <c r="CT37" s="3">
        <v>4110.5</v>
      </c>
      <c r="CU37" s="3">
        <v>4001.6</v>
      </c>
      <c r="CV37" s="3">
        <v>4016.3</v>
      </c>
      <c r="CW37" s="3">
        <v>4066.3</v>
      </c>
      <c r="CX37" s="3">
        <v>4001</v>
      </c>
      <c r="CY37" s="3">
        <v>4021.3</v>
      </c>
      <c r="CZ37" s="3">
        <v>4108.2</v>
      </c>
      <c r="DA37" s="3">
        <v>4188.3</v>
      </c>
      <c r="DB37" s="3">
        <v>4262.3999999999996</v>
      </c>
      <c r="DC37" s="3">
        <v>4343.3</v>
      </c>
      <c r="DD37" s="3">
        <v>4373</v>
      </c>
      <c r="DE37" s="3">
        <v>4341.5</v>
      </c>
      <c r="DF37" s="3">
        <v>4283.8999999999996</v>
      </c>
      <c r="DG37" s="3">
        <v>4287.3999999999996</v>
      </c>
      <c r="DH37" s="3">
        <v>4348.6000000000004</v>
      </c>
      <c r="DI37" s="3">
        <v>4353.2</v>
      </c>
      <c r="DJ37" s="3">
        <v>4473.8999999999996</v>
      </c>
      <c r="DK37" s="3">
        <v>4514.2</v>
      </c>
      <c r="DL37" s="3">
        <v>4562.8</v>
      </c>
      <c r="DM37" s="3">
        <v>4624.3999999999996</v>
      </c>
      <c r="DN37" s="3">
        <v>4969.8999999999996</v>
      </c>
      <c r="DO37" s="3">
        <v>4969.3</v>
      </c>
      <c r="DP37" s="3">
        <v>5090.3999999999996</v>
      </c>
      <c r="DQ37" s="3">
        <v>5166.3</v>
      </c>
      <c r="DR37" s="3">
        <v>5347</v>
      </c>
      <c r="DS37" s="3">
        <v>5450.6</v>
      </c>
      <c r="DT37" s="3">
        <v>5533.6</v>
      </c>
      <c r="DU37" s="3">
        <v>5703.6</v>
      </c>
      <c r="DV37" s="3">
        <v>5738.3</v>
      </c>
      <c r="DW37" s="3">
        <v>5825.6</v>
      </c>
      <c r="DX37" s="3">
        <v>6013.9</v>
      </c>
      <c r="DY37" s="3">
        <v>6156.5</v>
      </c>
      <c r="DZ37" s="3">
        <v>6269.6</v>
      </c>
      <c r="EA37" s="3">
        <v>6376.5</v>
      </c>
      <c r="EB37" s="3">
        <v>6497.8</v>
      </c>
      <c r="EC37" s="3">
        <v>6616.2</v>
      </c>
      <c r="ED37" s="3">
        <v>6773.5</v>
      </c>
      <c r="EE37" s="3">
        <v>6914</v>
      </c>
      <c r="EF37" s="3">
        <v>6956.2</v>
      </c>
      <c r="EG37" s="3">
        <v>7049.8</v>
      </c>
      <c r="EH37" s="3">
        <v>6872.7</v>
      </c>
      <c r="EI37" s="3">
        <v>6947.1</v>
      </c>
      <c r="EJ37" s="3">
        <v>7024.9</v>
      </c>
      <c r="EK37" s="3">
        <v>7159.1</v>
      </c>
      <c r="EL37" s="3">
        <v>7016.3</v>
      </c>
      <c r="EM37" s="3">
        <v>7340.6</v>
      </c>
    </row>
    <row r="38" spans="1:143" ht="20.100000000000001" customHeight="1" x14ac:dyDescent="0.3">
      <c r="A38" s="4" t="s">
        <v>179</v>
      </c>
      <c r="B38" s="3">
        <v>1613</v>
      </c>
      <c r="C38" s="3">
        <v>1714.4</v>
      </c>
      <c r="D38" s="3">
        <v>1700</v>
      </c>
      <c r="E38" s="3">
        <v>1774.9</v>
      </c>
      <c r="F38" s="3">
        <v>1933.9</v>
      </c>
      <c r="G38" s="3">
        <v>1981.7</v>
      </c>
      <c r="H38" s="3">
        <v>1997.7</v>
      </c>
      <c r="I38" s="3">
        <v>2069.8000000000002</v>
      </c>
      <c r="J38" s="3">
        <v>2176.6</v>
      </c>
      <c r="K38" s="3">
        <v>2291.8000000000002</v>
      </c>
      <c r="L38" s="3">
        <v>2312.9</v>
      </c>
      <c r="M38" s="3">
        <v>2384</v>
      </c>
      <c r="N38" s="3">
        <v>2368.6</v>
      </c>
      <c r="O38" s="3">
        <v>2494.4</v>
      </c>
      <c r="P38" s="3">
        <v>2612.3000000000002</v>
      </c>
      <c r="Q38" s="3">
        <v>2627.7</v>
      </c>
      <c r="R38" s="3">
        <v>2855.3</v>
      </c>
      <c r="S38" s="3">
        <v>2999.6</v>
      </c>
      <c r="T38" s="3">
        <v>3120.4</v>
      </c>
      <c r="U38" s="3">
        <v>3241.5</v>
      </c>
      <c r="V38" s="3">
        <v>3125.6</v>
      </c>
      <c r="W38" s="3">
        <v>3297.9</v>
      </c>
      <c r="X38" s="3">
        <v>3647.8</v>
      </c>
      <c r="Y38" s="3">
        <v>3699.4</v>
      </c>
      <c r="Z38" s="3">
        <v>3750.9</v>
      </c>
      <c r="AA38" s="3">
        <v>3878.9</v>
      </c>
      <c r="AB38" s="3">
        <v>4309.7</v>
      </c>
      <c r="AC38" s="3">
        <v>4066</v>
      </c>
      <c r="AD38" s="3">
        <v>4008.1</v>
      </c>
      <c r="AE38" s="3">
        <v>4142.7</v>
      </c>
      <c r="AF38" s="3">
        <v>4578.3999999999996</v>
      </c>
      <c r="AG38" s="3">
        <v>4190.3999999999996</v>
      </c>
      <c r="AH38" s="3">
        <v>3548.5</v>
      </c>
      <c r="AI38" s="3">
        <v>3720.4</v>
      </c>
      <c r="AJ38" s="3">
        <v>4357.7</v>
      </c>
      <c r="AK38" s="3">
        <v>4010.3</v>
      </c>
      <c r="AL38" s="3">
        <v>3994.9</v>
      </c>
      <c r="AM38" s="3">
        <v>4737.1000000000004</v>
      </c>
      <c r="AN38" s="3">
        <v>5015</v>
      </c>
      <c r="AO38" s="3">
        <v>5223.7</v>
      </c>
      <c r="AP38" s="3">
        <v>5691.4</v>
      </c>
      <c r="AQ38" s="3">
        <v>5797.9</v>
      </c>
      <c r="AR38" s="3">
        <v>5714.6</v>
      </c>
      <c r="AS38" s="3">
        <v>6082.2</v>
      </c>
      <c r="AT38" s="3">
        <v>5898</v>
      </c>
      <c r="AU38" s="3">
        <v>5921.5</v>
      </c>
      <c r="AV38" s="3">
        <v>5870.5</v>
      </c>
      <c r="AW38" s="3">
        <v>6307.6</v>
      </c>
      <c r="AX38" s="3">
        <v>6477.8</v>
      </c>
      <c r="AY38" s="3">
        <v>6652.3</v>
      </c>
      <c r="AZ38" s="3">
        <v>6585.4</v>
      </c>
      <c r="BA38" s="3">
        <v>6745</v>
      </c>
      <c r="BB38" s="3">
        <v>6628.7</v>
      </c>
      <c r="BC38" s="3">
        <v>6552.9</v>
      </c>
      <c r="BD38" s="3">
        <v>6766.9</v>
      </c>
      <c r="BE38" s="3">
        <v>6885.2</v>
      </c>
      <c r="BF38" s="3">
        <v>7145.7</v>
      </c>
      <c r="BG38" s="3">
        <v>7284.9</v>
      </c>
      <c r="BH38" s="3">
        <v>7210</v>
      </c>
      <c r="BI38" s="3">
        <v>7443.8</v>
      </c>
      <c r="BJ38" s="3">
        <v>7632.3</v>
      </c>
      <c r="BK38" s="3">
        <v>7727.9</v>
      </c>
      <c r="BL38" s="3">
        <v>8102.5</v>
      </c>
      <c r="BM38" s="3">
        <v>8295.7000000000007</v>
      </c>
      <c r="BN38" s="3">
        <v>8531.7000000000007</v>
      </c>
      <c r="BO38" s="3">
        <v>8750.7999999999993</v>
      </c>
      <c r="BP38" s="3">
        <v>8777.2000000000007</v>
      </c>
      <c r="BQ38" s="3">
        <v>9275.7000000000007</v>
      </c>
      <c r="BR38" s="3">
        <v>9015.6</v>
      </c>
      <c r="BS38" s="3">
        <v>9165.2000000000007</v>
      </c>
      <c r="BT38" s="3">
        <v>9397.9</v>
      </c>
      <c r="BU38" s="3">
        <v>9662.1</v>
      </c>
      <c r="BV38" s="3">
        <v>9742.9</v>
      </c>
      <c r="BW38" s="3">
        <v>9758</v>
      </c>
      <c r="BX38" s="3">
        <v>9755.7000000000007</v>
      </c>
      <c r="BY38" s="3">
        <v>9749.9</v>
      </c>
      <c r="BZ38" s="3">
        <v>10026.700000000001</v>
      </c>
      <c r="CA38" s="3">
        <v>10327.1</v>
      </c>
      <c r="CB38" s="3">
        <v>10301.799999999999</v>
      </c>
      <c r="CC38" s="3">
        <v>10629.8</v>
      </c>
      <c r="CD38" s="3">
        <v>10406.5</v>
      </c>
      <c r="CE38" s="3">
        <v>10496.9</v>
      </c>
      <c r="CF38" s="3">
        <v>10645.9</v>
      </c>
      <c r="CG38" s="3">
        <v>11090.7</v>
      </c>
      <c r="CH38" s="3">
        <v>11269</v>
      </c>
      <c r="CI38" s="3">
        <v>11391.9</v>
      </c>
      <c r="CJ38" s="3">
        <v>11631.4</v>
      </c>
      <c r="CK38" s="3">
        <v>11841</v>
      </c>
      <c r="CL38" s="3">
        <v>12227.3</v>
      </c>
      <c r="CM38" s="3">
        <v>12544</v>
      </c>
      <c r="CN38" s="3">
        <v>12290.9</v>
      </c>
      <c r="CO38" s="3">
        <v>12372.9</v>
      </c>
      <c r="CP38" s="3">
        <v>12730.3</v>
      </c>
      <c r="CQ38" s="3">
        <v>12824</v>
      </c>
      <c r="CR38" s="3">
        <v>12806.6</v>
      </c>
      <c r="CS38" s="3">
        <v>12957.1</v>
      </c>
      <c r="CT38" s="3">
        <v>13031.6</v>
      </c>
      <c r="CU38" s="3">
        <v>13312.1</v>
      </c>
      <c r="CV38" s="3">
        <v>13308.8</v>
      </c>
      <c r="CW38" s="3">
        <v>13369.3</v>
      </c>
      <c r="CX38" s="3">
        <v>13079.2</v>
      </c>
      <c r="CY38" s="3">
        <v>13126.5</v>
      </c>
      <c r="CZ38" s="3">
        <v>13690.9</v>
      </c>
      <c r="DA38" s="3">
        <v>13938.5</v>
      </c>
      <c r="DB38" s="3">
        <v>13826.8</v>
      </c>
      <c r="DC38" s="3">
        <v>14209.2</v>
      </c>
      <c r="DD38" s="3">
        <v>14589.2</v>
      </c>
      <c r="DE38" s="3">
        <v>14496.4</v>
      </c>
      <c r="DF38" s="3">
        <v>14624</v>
      </c>
      <c r="DG38" s="3">
        <v>14494.3</v>
      </c>
      <c r="DH38" s="3">
        <v>15303.6</v>
      </c>
      <c r="DI38" s="3">
        <v>15821.1</v>
      </c>
      <c r="DJ38" s="3">
        <v>15817.8</v>
      </c>
      <c r="DK38" s="3">
        <v>15716.2</v>
      </c>
      <c r="DL38" s="3">
        <v>15974.5</v>
      </c>
      <c r="DM38" s="3">
        <v>15881.9</v>
      </c>
      <c r="DN38" s="3">
        <v>16249.7</v>
      </c>
      <c r="DO38" s="3">
        <v>16450.2</v>
      </c>
      <c r="DP38" s="3">
        <v>16229.2</v>
      </c>
      <c r="DQ38" s="3">
        <v>16533.5</v>
      </c>
      <c r="DR38" s="3">
        <v>16929.5</v>
      </c>
      <c r="DS38" s="3">
        <v>16890.5</v>
      </c>
      <c r="DT38" s="3">
        <v>16383</v>
      </c>
      <c r="DU38" s="3">
        <v>16977.400000000001</v>
      </c>
      <c r="DV38" s="3">
        <v>17662.2</v>
      </c>
      <c r="DW38" s="3">
        <v>18273.8</v>
      </c>
      <c r="DX38" s="3">
        <v>18608.400000000001</v>
      </c>
      <c r="DY38" s="3">
        <v>19234.8</v>
      </c>
      <c r="DZ38" s="3">
        <v>17891.8</v>
      </c>
      <c r="EA38" s="3">
        <v>18750.7</v>
      </c>
      <c r="EB38" s="3">
        <v>18834.900000000001</v>
      </c>
      <c r="EC38" s="3">
        <v>18719.900000000001</v>
      </c>
      <c r="ED38" s="3">
        <v>18976.599999999999</v>
      </c>
      <c r="EE38" s="3">
        <v>18835.099999999999</v>
      </c>
      <c r="EF38" s="3">
        <v>19559.099999999999</v>
      </c>
      <c r="EG38" s="3">
        <v>19627.5</v>
      </c>
      <c r="EH38" s="3">
        <v>19633.3</v>
      </c>
      <c r="EI38" s="3">
        <v>18842.2</v>
      </c>
      <c r="EJ38" s="3">
        <v>19276.599999999999</v>
      </c>
      <c r="EK38" s="3">
        <v>19521.2</v>
      </c>
      <c r="EL38" s="3">
        <v>19807.8</v>
      </c>
      <c r="EM38" s="3">
        <v>19359.900000000001</v>
      </c>
    </row>
    <row r="39" spans="1:143" ht="20.100000000000001" customHeight="1" x14ac:dyDescent="0.3">
      <c r="A39" s="4" t="s">
        <v>180</v>
      </c>
      <c r="B39" s="3">
        <v>6505.1</v>
      </c>
      <c r="C39" s="3">
        <v>6907.7</v>
      </c>
      <c r="D39" s="3">
        <v>7077.9</v>
      </c>
      <c r="E39" s="3">
        <v>7071.9</v>
      </c>
      <c r="F39" s="3">
        <v>7615.9</v>
      </c>
      <c r="G39" s="3">
        <v>7962.9</v>
      </c>
      <c r="H39" s="3">
        <v>8100.8</v>
      </c>
      <c r="I39" s="3">
        <v>8323.4</v>
      </c>
      <c r="J39" s="3">
        <v>8524.6</v>
      </c>
      <c r="K39" s="3">
        <v>8732</v>
      </c>
      <c r="L39" s="3">
        <v>9051.9</v>
      </c>
      <c r="M39" s="3">
        <v>9313.4</v>
      </c>
      <c r="N39" s="3">
        <v>9331.6</v>
      </c>
      <c r="O39" s="3">
        <v>9560.1</v>
      </c>
      <c r="P39" s="3">
        <v>9881.7000000000007</v>
      </c>
      <c r="Q39" s="3">
        <v>10176.1</v>
      </c>
      <c r="R39" s="3">
        <v>10421.700000000001</v>
      </c>
      <c r="S39" s="3">
        <v>10664.4</v>
      </c>
      <c r="T39" s="3">
        <v>11079</v>
      </c>
      <c r="U39" s="3">
        <v>11436.8</v>
      </c>
      <c r="V39" s="3">
        <v>11736.8</v>
      </c>
      <c r="W39" s="3">
        <v>12073.4</v>
      </c>
      <c r="X39" s="3">
        <v>12293.7</v>
      </c>
      <c r="Y39" s="3">
        <v>12490.8</v>
      </c>
      <c r="Z39" s="3">
        <v>12897.7</v>
      </c>
      <c r="AA39" s="3">
        <v>13249.2</v>
      </c>
      <c r="AB39" s="3">
        <v>13320.7</v>
      </c>
      <c r="AC39" s="3">
        <v>13864.5</v>
      </c>
      <c r="AD39" s="3">
        <v>14130.8</v>
      </c>
      <c r="AE39" s="3">
        <v>14724.7</v>
      </c>
      <c r="AF39" s="3">
        <v>15084.8</v>
      </c>
      <c r="AG39" s="3">
        <v>15305.4</v>
      </c>
      <c r="AH39" s="3">
        <v>13734.4</v>
      </c>
      <c r="AI39" s="3">
        <v>13765.3</v>
      </c>
      <c r="AJ39" s="3">
        <v>13671.1</v>
      </c>
      <c r="AK39" s="3">
        <v>13213.7</v>
      </c>
      <c r="AL39" s="3">
        <v>13660.5</v>
      </c>
      <c r="AM39" s="3">
        <v>13738.8</v>
      </c>
      <c r="AN39" s="3">
        <v>14183.4</v>
      </c>
      <c r="AO39" s="3">
        <v>14092.5</v>
      </c>
      <c r="AP39" s="3">
        <v>14285.2</v>
      </c>
      <c r="AQ39" s="3">
        <v>14794.6</v>
      </c>
      <c r="AR39" s="3">
        <v>15268</v>
      </c>
      <c r="AS39" s="3">
        <v>16574.5</v>
      </c>
      <c r="AT39" s="3">
        <v>15253.8</v>
      </c>
      <c r="AU39" s="3">
        <v>15533.5</v>
      </c>
      <c r="AV39" s="3">
        <v>15875.3</v>
      </c>
      <c r="AW39" s="3">
        <v>16872.099999999999</v>
      </c>
      <c r="AX39" s="3">
        <v>16724.3</v>
      </c>
      <c r="AY39" s="3">
        <v>17306.2</v>
      </c>
      <c r="AZ39" s="3">
        <v>17984.900000000001</v>
      </c>
      <c r="BA39" s="3">
        <v>18361.099999999999</v>
      </c>
      <c r="BB39" s="3">
        <v>18351.7</v>
      </c>
      <c r="BC39" s="3">
        <v>18826.8</v>
      </c>
      <c r="BD39" s="3">
        <v>19313.599999999999</v>
      </c>
      <c r="BE39" s="3">
        <v>19898.5</v>
      </c>
      <c r="BF39" s="3">
        <v>19770.099999999999</v>
      </c>
      <c r="BG39" s="3">
        <v>19851.8</v>
      </c>
      <c r="BH39" s="3">
        <v>20063.599999999999</v>
      </c>
      <c r="BI39" s="3">
        <v>20100</v>
      </c>
      <c r="BJ39" s="3">
        <v>20561.2</v>
      </c>
      <c r="BK39" s="3">
        <v>20671.3</v>
      </c>
      <c r="BL39" s="3">
        <v>20881.3</v>
      </c>
      <c r="BM39" s="3">
        <v>21317.7</v>
      </c>
      <c r="BN39" s="3">
        <v>21804.7</v>
      </c>
      <c r="BO39" s="3">
        <v>22093.4</v>
      </c>
      <c r="BP39" s="3">
        <v>22367</v>
      </c>
      <c r="BQ39" s="3">
        <v>22758.799999999999</v>
      </c>
      <c r="BR39" s="3">
        <v>23293.9</v>
      </c>
      <c r="BS39" s="3">
        <v>23952.9</v>
      </c>
      <c r="BT39" s="3">
        <v>24225</v>
      </c>
      <c r="BU39" s="3">
        <v>24774.5</v>
      </c>
      <c r="BV39" s="3">
        <v>25145.1</v>
      </c>
      <c r="BW39" s="3">
        <v>25330.9</v>
      </c>
      <c r="BX39" s="3">
        <v>25510</v>
      </c>
      <c r="BY39" s="3">
        <v>25202.1</v>
      </c>
      <c r="BZ39" s="3">
        <v>24738.6</v>
      </c>
      <c r="CA39" s="3">
        <v>25215.1</v>
      </c>
      <c r="CB39" s="3">
        <v>25723.200000000001</v>
      </c>
      <c r="CC39" s="3">
        <v>26035</v>
      </c>
      <c r="CD39" s="3">
        <v>26888.1</v>
      </c>
      <c r="CE39" s="3">
        <v>27084</v>
      </c>
      <c r="CF39" s="3">
        <v>27427.1</v>
      </c>
      <c r="CG39" s="3">
        <v>27857.4</v>
      </c>
      <c r="CH39" s="3">
        <v>28093.1</v>
      </c>
      <c r="CI39" s="3">
        <v>28269.200000000001</v>
      </c>
      <c r="CJ39" s="3">
        <v>28544.5</v>
      </c>
      <c r="CK39" s="3">
        <v>28810.5</v>
      </c>
      <c r="CL39" s="3">
        <v>28813.9</v>
      </c>
      <c r="CM39" s="3">
        <v>29015</v>
      </c>
      <c r="CN39" s="3">
        <v>29054</v>
      </c>
      <c r="CO39" s="3">
        <v>29351.5</v>
      </c>
      <c r="CP39" s="3">
        <v>29993.7</v>
      </c>
      <c r="CQ39" s="3">
        <v>30863.4</v>
      </c>
      <c r="CR39" s="3">
        <v>31373.599999999999</v>
      </c>
      <c r="CS39" s="3">
        <v>31785.200000000001</v>
      </c>
      <c r="CT39" s="3">
        <v>32125.5</v>
      </c>
      <c r="CU39" s="3">
        <v>32350</v>
      </c>
      <c r="CV39" s="3">
        <v>32730</v>
      </c>
      <c r="CW39" s="3">
        <v>33286.6</v>
      </c>
      <c r="CX39" s="3">
        <v>33687.800000000003</v>
      </c>
      <c r="CY39" s="3">
        <v>33923.699999999997</v>
      </c>
      <c r="CZ39" s="3">
        <v>34558</v>
      </c>
      <c r="DA39" s="3">
        <v>35063.199999999997</v>
      </c>
      <c r="DB39" s="3">
        <v>35287</v>
      </c>
      <c r="DC39" s="3">
        <v>35660.699999999997</v>
      </c>
      <c r="DD39" s="3">
        <v>35678.199999999997</v>
      </c>
      <c r="DE39" s="3">
        <v>35413.699999999997</v>
      </c>
      <c r="DF39" s="3">
        <v>35850.9</v>
      </c>
      <c r="DG39" s="3">
        <v>35856.5</v>
      </c>
      <c r="DH39" s="3">
        <v>36263.5</v>
      </c>
      <c r="DI39" s="3">
        <v>36413.800000000003</v>
      </c>
      <c r="DJ39" s="3">
        <v>37770.6</v>
      </c>
      <c r="DK39" s="3">
        <v>37643.1</v>
      </c>
      <c r="DL39" s="3">
        <v>37729.4</v>
      </c>
      <c r="DM39" s="3">
        <v>37767.800000000003</v>
      </c>
      <c r="DN39" s="3">
        <v>38031.4</v>
      </c>
      <c r="DO39" s="3">
        <v>38859.4</v>
      </c>
      <c r="DP39" s="3">
        <v>39467.800000000003</v>
      </c>
      <c r="DQ39" s="3">
        <v>39956.800000000003</v>
      </c>
      <c r="DR39" s="3">
        <v>39216.5</v>
      </c>
      <c r="DS39" s="3">
        <v>38280.400000000001</v>
      </c>
      <c r="DT39" s="3">
        <v>39438.1</v>
      </c>
      <c r="DU39" s="3">
        <v>39717.599999999999</v>
      </c>
      <c r="DV39" s="3">
        <v>39520.1</v>
      </c>
      <c r="DW39" s="3">
        <v>39788.9</v>
      </c>
      <c r="DX39" s="3">
        <v>40114</v>
      </c>
      <c r="DY39" s="3">
        <v>40180.6</v>
      </c>
      <c r="DZ39" s="3">
        <v>40727.199999999997</v>
      </c>
      <c r="EA39" s="3">
        <v>40852.5</v>
      </c>
      <c r="EB39" s="3">
        <v>40605.199999999997</v>
      </c>
      <c r="EC39" s="3">
        <v>41268.5</v>
      </c>
      <c r="ED39" s="3">
        <v>42198</v>
      </c>
      <c r="EE39" s="3">
        <v>42627.5</v>
      </c>
      <c r="EF39" s="3">
        <v>42810.3</v>
      </c>
      <c r="EG39" s="3">
        <v>43156.6</v>
      </c>
      <c r="EH39" s="3">
        <v>42714.7</v>
      </c>
      <c r="EI39" s="3">
        <v>42433.4</v>
      </c>
      <c r="EJ39" s="3">
        <v>42437</v>
      </c>
      <c r="EK39" s="3">
        <v>42058.9</v>
      </c>
      <c r="EL39" s="3">
        <v>41884.400000000001</v>
      </c>
      <c r="EM39" s="3">
        <v>41825.5</v>
      </c>
    </row>
    <row r="40" spans="1:143" ht="20.100000000000001" customHeight="1" x14ac:dyDescent="0.3">
      <c r="A40" s="4" t="s">
        <v>181</v>
      </c>
      <c r="B40" s="3">
        <v>5315.2</v>
      </c>
      <c r="C40" s="3">
        <v>5610.5</v>
      </c>
      <c r="D40" s="3">
        <v>5715.7</v>
      </c>
      <c r="E40" s="3">
        <v>5822.3</v>
      </c>
      <c r="F40" s="3">
        <v>5915.3</v>
      </c>
      <c r="G40" s="3">
        <v>6369.1</v>
      </c>
      <c r="H40" s="3">
        <v>6480.5</v>
      </c>
      <c r="I40" s="3">
        <v>6682.9</v>
      </c>
      <c r="J40" s="3">
        <v>6876.8</v>
      </c>
      <c r="K40" s="3">
        <v>6997.7</v>
      </c>
      <c r="L40" s="3">
        <v>7105.7</v>
      </c>
      <c r="M40" s="3">
        <v>7254.8</v>
      </c>
      <c r="N40" s="3">
        <v>7341.3</v>
      </c>
      <c r="O40" s="3">
        <v>7539.4</v>
      </c>
      <c r="P40" s="3">
        <v>7719.6</v>
      </c>
      <c r="Q40" s="3">
        <v>7895.6</v>
      </c>
      <c r="R40" s="3">
        <v>8048.6</v>
      </c>
      <c r="S40" s="3">
        <v>8280.5</v>
      </c>
      <c r="T40" s="3">
        <v>8544.6</v>
      </c>
      <c r="U40" s="3">
        <v>8692.1</v>
      </c>
      <c r="V40" s="3">
        <v>8758.2000000000007</v>
      </c>
      <c r="W40" s="3">
        <v>8968.9</v>
      </c>
      <c r="X40" s="3">
        <v>9318.9</v>
      </c>
      <c r="Y40" s="3">
        <v>9541.5</v>
      </c>
      <c r="Z40" s="3">
        <v>9603.9</v>
      </c>
      <c r="AA40" s="3">
        <v>9885.5</v>
      </c>
      <c r="AB40" s="3">
        <v>9946</v>
      </c>
      <c r="AC40" s="3">
        <v>10290.200000000001</v>
      </c>
      <c r="AD40" s="3">
        <v>10408.799999999999</v>
      </c>
      <c r="AE40" s="3">
        <v>10604.5</v>
      </c>
      <c r="AF40" s="3">
        <v>10437.9</v>
      </c>
      <c r="AG40" s="3">
        <v>10322.4</v>
      </c>
      <c r="AH40" s="3">
        <v>9163.6</v>
      </c>
      <c r="AI40" s="3">
        <v>9143.5</v>
      </c>
      <c r="AJ40" s="3">
        <v>8922.1</v>
      </c>
      <c r="AK40" s="3">
        <v>8831.2999999999993</v>
      </c>
      <c r="AL40" s="3">
        <v>9416.7999999999993</v>
      </c>
      <c r="AM40" s="3">
        <v>9246</v>
      </c>
      <c r="AN40" s="3">
        <v>9907.7999999999993</v>
      </c>
      <c r="AO40" s="3">
        <v>9998.2999999999993</v>
      </c>
      <c r="AP40" s="3">
        <v>9697.7999999999993</v>
      </c>
      <c r="AQ40" s="3">
        <v>9953.1</v>
      </c>
      <c r="AR40" s="3">
        <v>10455.700000000001</v>
      </c>
      <c r="AS40" s="3">
        <v>10987.7</v>
      </c>
      <c r="AT40" s="3">
        <v>10847.4</v>
      </c>
      <c r="AU40" s="3">
        <v>11036.1</v>
      </c>
      <c r="AV40" s="3">
        <v>11273.2</v>
      </c>
      <c r="AW40" s="3">
        <v>11753.1</v>
      </c>
      <c r="AX40" s="3">
        <v>12042.2</v>
      </c>
      <c r="AY40" s="3">
        <v>12438.1</v>
      </c>
      <c r="AZ40" s="3">
        <v>12783.8</v>
      </c>
      <c r="BA40" s="3">
        <v>12835.8</v>
      </c>
      <c r="BB40" s="3">
        <v>12639.6</v>
      </c>
      <c r="BC40" s="3">
        <v>12842.5</v>
      </c>
      <c r="BD40" s="3">
        <v>13068.1</v>
      </c>
      <c r="BE40" s="3">
        <v>13499.1</v>
      </c>
      <c r="BF40" s="3">
        <v>13234.9</v>
      </c>
      <c r="BG40" s="3">
        <v>13287.3</v>
      </c>
      <c r="BH40" s="3">
        <v>13443</v>
      </c>
      <c r="BI40" s="3">
        <v>13379</v>
      </c>
      <c r="BJ40" s="3">
        <v>13648.7</v>
      </c>
      <c r="BK40" s="3">
        <v>13595.6</v>
      </c>
      <c r="BL40" s="3">
        <v>13683.7</v>
      </c>
      <c r="BM40" s="3">
        <v>13869.9</v>
      </c>
      <c r="BN40" s="3">
        <v>14462.4</v>
      </c>
      <c r="BO40" s="3">
        <v>14622.9</v>
      </c>
      <c r="BP40" s="3">
        <v>14699.5</v>
      </c>
      <c r="BQ40" s="3">
        <v>14922.1</v>
      </c>
      <c r="BR40" s="3">
        <v>15253.3</v>
      </c>
      <c r="BS40" s="3">
        <v>15731</v>
      </c>
      <c r="BT40" s="3">
        <v>15820.7</v>
      </c>
      <c r="BU40" s="3">
        <v>16130.8</v>
      </c>
      <c r="BV40" s="3">
        <v>16176.7</v>
      </c>
      <c r="BW40" s="3">
        <v>16116.5</v>
      </c>
      <c r="BX40" s="3">
        <v>16528.8</v>
      </c>
      <c r="BY40" s="3">
        <v>16537.8</v>
      </c>
      <c r="BZ40" s="3">
        <v>16178.1</v>
      </c>
      <c r="CA40" s="3">
        <v>16603.5</v>
      </c>
      <c r="CB40" s="3">
        <v>16613.7</v>
      </c>
      <c r="CC40" s="3">
        <v>16765.099999999999</v>
      </c>
      <c r="CD40" s="3">
        <v>16920.099999999999</v>
      </c>
      <c r="CE40" s="3">
        <v>16925.900000000001</v>
      </c>
      <c r="CF40" s="3">
        <v>16771</v>
      </c>
      <c r="CG40" s="3">
        <v>16899.3</v>
      </c>
      <c r="CH40" s="3">
        <v>16874.8</v>
      </c>
      <c r="CI40" s="3">
        <v>16972</v>
      </c>
      <c r="CJ40" s="3">
        <v>17235</v>
      </c>
      <c r="CK40" s="3">
        <v>17305.599999999999</v>
      </c>
      <c r="CL40" s="3">
        <v>17204.8</v>
      </c>
      <c r="CM40" s="3">
        <v>17156.2</v>
      </c>
      <c r="CN40" s="3">
        <v>17352.3</v>
      </c>
      <c r="CO40" s="3">
        <v>17415</v>
      </c>
      <c r="CP40" s="3">
        <v>17521.2</v>
      </c>
      <c r="CQ40" s="3">
        <v>18139.400000000001</v>
      </c>
      <c r="CR40" s="3">
        <v>18374</v>
      </c>
      <c r="CS40" s="3">
        <v>18686</v>
      </c>
      <c r="CT40" s="3">
        <v>18537.900000000001</v>
      </c>
      <c r="CU40" s="3">
        <v>18660.099999999999</v>
      </c>
      <c r="CV40" s="3">
        <v>18993.5</v>
      </c>
      <c r="CW40" s="3">
        <v>19581.099999999999</v>
      </c>
      <c r="CX40" s="3">
        <v>19796.2</v>
      </c>
      <c r="CY40" s="3">
        <v>19556.2</v>
      </c>
      <c r="CZ40" s="3">
        <v>20229.3</v>
      </c>
      <c r="DA40" s="3">
        <v>20313.2</v>
      </c>
      <c r="DB40" s="3">
        <v>20616.900000000001</v>
      </c>
      <c r="DC40" s="3">
        <v>20586</v>
      </c>
      <c r="DD40" s="3">
        <v>20356.3</v>
      </c>
      <c r="DE40" s="3">
        <v>20134.3</v>
      </c>
      <c r="DF40" s="3">
        <v>20262.7</v>
      </c>
      <c r="DG40" s="3">
        <v>20135.400000000001</v>
      </c>
      <c r="DH40" s="3">
        <v>20196.5</v>
      </c>
      <c r="DI40" s="3">
        <v>20092.3</v>
      </c>
      <c r="DJ40" s="3">
        <v>20883.5</v>
      </c>
      <c r="DK40" s="3">
        <v>20937.5</v>
      </c>
      <c r="DL40" s="3">
        <v>21048.9</v>
      </c>
      <c r="DM40" s="3">
        <v>20985.599999999999</v>
      </c>
      <c r="DN40" s="3">
        <v>20991.9</v>
      </c>
      <c r="DO40" s="3">
        <v>21431.9</v>
      </c>
      <c r="DP40" s="3">
        <v>21770.799999999999</v>
      </c>
      <c r="DQ40" s="3">
        <v>22064.2</v>
      </c>
      <c r="DR40" s="3">
        <v>22213.200000000001</v>
      </c>
      <c r="DS40" s="3">
        <v>21826.7</v>
      </c>
      <c r="DT40" s="3">
        <v>22372.6</v>
      </c>
      <c r="DU40" s="3">
        <v>22816.7</v>
      </c>
      <c r="DV40" s="3">
        <v>23208.2</v>
      </c>
      <c r="DW40" s="3">
        <v>23197.7</v>
      </c>
      <c r="DX40" s="3">
        <v>23175.9</v>
      </c>
      <c r="DY40" s="3">
        <v>23542</v>
      </c>
      <c r="DZ40" s="3">
        <v>23790.7</v>
      </c>
      <c r="EA40" s="3">
        <v>23949.4</v>
      </c>
      <c r="EB40" s="3">
        <v>24051.599999999999</v>
      </c>
      <c r="EC40" s="3">
        <v>24103.7</v>
      </c>
      <c r="ED40" s="3">
        <v>24619.3</v>
      </c>
      <c r="EE40" s="3">
        <v>24924.7</v>
      </c>
      <c r="EF40" s="3">
        <v>25167.7</v>
      </c>
      <c r="EG40" s="3">
        <v>25027.8</v>
      </c>
      <c r="EH40" s="3">
        <v>24780.3</v>
      </c>
      <c r="EI40" s="3">
        <v>24563.599999999999</v>
      </c>
      <c r="EJ40" s="3">
        <v>24665.5</v>
      </c>
      <c r="EK40" s="3">
        <v>24281.9</v>
      </c>
      <c r="EL40" s="3">
        <v>24191.3</v>
      </c>
      <c r="EM40" s="3">
        <v>24198</v>
      </c>
    </row>
    <row r="41" spans="1:143" ht="20.100000000000001" customHeight="1" x14ac:dyDescent="0.3">
      <c r="A41" s="4" t="s">
        <v>182</v>
      </c>
      <c r="B41" s="3">
        <v>1721.9</v>
      </c>
      <c r="C41" s="3">
        <v>1841.7</v>
      </c>
      <c r="D41" s="3">
        <v>1900</v>
      </c>
      <c r="E41" s="3">
        <v>1854.8</v>
      </c>
      <c r="F41" s="3">
        <v>2140</v>
      </c>
      <c r="G41" s="3">
        <v>2163</v>
      </c>
      <c r="H41" s="3">
        <v>2200.1</v>
      </c>
      <c r="I41" s="3">
        <v>2250.6999999999998</v>
      </c>
      <c r="J41" s="3">
        <v>2289</v>
      </c>
      <c r="K41" s="3">
        <v>2364.9</v>
      </c>
      <c r="L41" s="3">
        <v>2516</v>
      </c>
      <c r="M41" s="3">
        <v>2613.1999999999998</v>
      </c>
      <c r="N41" s="3">
        <v>2588.9</v>
      </c>
      <c r="O41" s="3">
        <v>2643.6</v>
      </c>
      <c r="P41" s="3">
        <v>2767.2</v>
      </c>
      <c r="Q41" s="3">
        <v>2875.1</v>
      </c>
      <c r="R41" s="3">
        <v>2964.4</v>
      </c>
      <c r="S41" s="3">
        <v>3011.6</v>
      </c>
      <c r="T41" s="3">
        <v>3157.1</v>
      </c>
      <c r="U41" s="3">
        <v>3322.2</v>
      </c>
      <c r="V41" s="3">
        <v>3495.1</v>
      </c>
      <c r="W41" s="3">
        <v>3616.1</v>
      </c>
      <c r="X41" s="3">
        <v>3586.4</v>
      </c>
      <c r="Y41" s="3">
        <v>3606.2</v>
      </c>
      <c r="Z41" s="3">
        <v>3853.8</v>
      </c>
      <c r="AA41" s="3">
        <v>3948.2</v>
      </c>
      <c r="AB41" s="3">
        <v>3965.7</v>
      </c>
      <c r="AC41" s="3">
        <v>4160.7</v>
      </c>
      <c r="AD41" s="3">
        <v>4286</v>
      </c>
      <c r="AE41" s="3">
        <v>4602.1000000000004</v>
      </c>
      <c r="AF41" s="3">
        <v>4954.1000000000004</v>
      </c>
      <c r="AG41" s="3">
        <v>5177.3</v>
      </c>
      <c r="AH41" s="3">
        <v>4715.5</v>
      </c>
      <c r="AI41" s="3">
        <v>4750</v>
      </c>
      <c r="AJ41" s="3">
        <v>4811</v>
      </c>
      <c r="AK41" s="3">
        <v>4527.8</v>
      </c>
      <c r="AL41" s="3">
        <v>4492.6000000000004</v>
      </c>
      <c r="AM41" s="3">
        <v>4662.8</v>
      </c>
      <c r="AN41" s="3">
        <v>4580.7</v>
      </c>
      <c r="AO41" s="3">
        <v>4452.3999999999996</v>
      </c>
      <c r="AP41" s="3">
        <v>4797.6000000000004</v>
      </c>
      <c r="AQ41" s="3">
        <v>5028.3999999999996</v>
      </c>
      <c r="AR41" s="3">
        <v>5067.8</v>
      </c>
      <c r="AS41" s="3">
        <v>5740.6</v>
      </c>
      <c r="AT41" s="3">
        <v>4799.6000000000004</v>
      </c>
      <c r="AU41" s="3">
        <v>4894.3999999999996</v>
      </c>
      <c r="AV41" s="3">
        <v>5005.8</v>
      </c>
      <c r="AW41" s="3">
        <v>5470</v>
      </c>
      <c r="AX41" s="3">
        <v>5163.5</v>
      </c>
      <c r="AY41" s="3">
        <v>5358.5</v>
      </c>
      <c r="AZ41" s="3">
        <v>5662.6</v>
      </c>
      <c r="BA41" s="3">
        <v>5923.4</v>
      </c>
      <c r="BB41" s="3">
        <v>6054.8</v>
      </c>
      <c r="BC41" s="3">
        <v>6296.3</v>
      </c>
      <c r="BD41" s="3">
        <v>6531.8</v>
      </c>
      <c r="BE41" s="3">
        <v>6705.6</v>
      </c>
      <c r="BF41" s="3">
        <v>6792.8</v>
      </c>
      <c r="BG41" s="3">
        <v>6822.6</v>
      </c>
      <c r="BH41" s="3">
        <v>6885.3</v>
      </c>
      <c r="BI41" s="3">
        <v>6961.8</v>
      </c>
      <c r="BJ41" s="3">
        <v>7152.6</v>
      </c>
      <c r="BK41" s="3">
        <v>7287.4</v>
      </c>
      <c r="BL41" s="3">
        <v>7399.5</v>
      </c>
      <c r="BM41" s="3">
        <v>7630.5</v>
      </c>
      <c r="BN41" s="3">
        <v>7591.4</v>
      </c>
      <c r="BO41" s="3">
        <v>7716.1</v>
      </c>
      <c r="BP41" s="3">
        <v>7893.6</v>
      </c>
      <c r="BQ41" s="3">
        <v>8059.3</v>
      </c>
      <c r="BR41" s="3">
        <v>8264.5</v>
      </c>
      <c r="BS41" s="3">
        <v>8461.9</v>
      </c>
      <c r="BT41" s="3">
        <v>8628.1</v>
      </c>
      <c r="BU41" s="3">
        <v>8862.2999999999993</v>
      </c>
      <c r="BV41" s="3">
        <v>9150.6</v>
      </c>
      <c r="BW41" s="3">
        <v>9361.1</v>
      </c>
      <c r="BX41" s="3">
        <v>9190.2000000000007</v>
      </c>
      <c r="BY41" s="3">
        <v>8913.6</v>
      </c>
      <c r="BZ41" s="3">
        <v>8786.7000000000007</v>
      </c>
      <c r="CA41" s="3">
        <v>8861.5</v>
      </c>
      <c r="CB41" s="3">
        <v>9309.2999999999993</v>
      </c>
      <c r="CC41" s="3">
        <v>9463.7000000000007</v>
      </c>
      <c r="CD41" s="3">
        <v>10122.1</v>
      </c>
      <c r="CE41" s="3">
        <v>10297.700000000001</v>
      </c>
      <c r="CF41" s="3">
        <v>10748.4</v>
      </c>
      <c r="CG41" s="3">
        <v>11034</v>
      </c>
      <c r="CH41" s="3">
        <v>11293.2</v>
      </c>
      <c r="CI41" s="3">
        <v>11371.7</v>
      </c>
      <c r="CJ41" s="3">
        <v>11393.5</v>
      </c>
      <c r="CK41" s="3">
        <v>11581.6</v>
      </c>
      <c r="CL41" s="3">
        <v>11681.1</v>
      </c>
      <c r="CM41" s="3">
        <v>11922.2</v>
      </c>
      <c r="CN41" s="3">
        <v>11774.5</v>
      </c>
      <c r="CO41" s="3">
        <v>12003.8</v>
      </c>
      <c r="CP41" s="3">
        <v>12526.9</v>
      </c>
      <c r="CQ41" s="3">
        <v>12785.8</v>
      </c>
      <c r="CR41" s="3">
        <v>13059</v>
      </c>
      <c r="CS41" s="3">
        <v>13163.1</v>
      </c>
      <c r="CT41" s="3">
        <v>13635.2</v>
      </c>
      <c r="CU41" s="3">
        <v>13737.5</v>
      </c>
      <c r="CV41" s="3">
        <v>13790.2</v>
      </c>
      <c r="CW41" s="3">
        <v>13772.7</v>
      </c>
      <c r="CX41" s="3">
        <v>13960.1</v>
      </c>
      <c r="CY41" s="3">
        <v>14416</v>
      </c>
      <c r="CZ41" s="3">
        <v>14394.7</v>
      </c>
      <c r="DA41" s="3">
        <v>14805.5</v>
      </c>
      <c r="DB41" s="3">
        <v>14736.5</v>
      </c>
      <c r="DC41" s="3">
        <v>15124.5</v>
      </c>
      <c r="DD41" s="3">
        <v>15355.2</v>
      </c>
      <c r="DE41" s="3">
        <v>15307.5</v>
      </c>
      <c r="DF41" s="3">
        <v>15609.3</v>
      </c>
      <c r="DG41" s="3">
        <v>15733.5</v>
      </c>
      <c r="DH41" s="3">
        <v>16068.4</v>
      </c>
      <c r="DI41" s="3">
        <v>16310.4</v>
      </c>
      <c r="DJ41" s="3">
        <v>16885.900000000001</v>
      </c>
      <c r="DK41" s="3">
        <v>16708.5</v>
      </c>
      <c r="DL41" s="3">
        <v>16685.5</v>
      </c>
      <c r="DM41" s="3">
        <v>16784.5</v>
      </c>
      <c r="DN41" s="3">
        <v>17037.099999999999</v>
      </c>
      <c r="DO41" s="3">
        <v>17424.5</v>
      </c>
      <c r="DP41" s="3">
        <v>17694.099999999999</v>
      </c>
      <c r="DQ41" s="3">
        <v>17890.400000000001</v>
      </c>
      <c r="DR41" s="3">
        <v>17002.8</v>
      </c>
      <c r="DS41" s="3">
        <v>16453.900000000001</v>
      </c>
      <c r="DT41" s="3">
        <v>17065.2</v>
      </c>
      <c r="DU41" s="3">
        <v>16901.599999999999</v>
      </c>
      <c r="DV41" s="3">
        <v>16311.9</v>
      </c>
      <c r="DW41" s="3">
        <v>16591.099999999999</v>
      </c>
      <c r="DX41" s="3">
        <v>16938.099999999999</v>
      </c>
      <c r="DY41" s="3">
        <v>16638.5</v>
      </c>
      <c r="DZ41" s="3">
        <v>16935.3</v>
      </c>
      <c r="EA41" s="3">
        <v>16898.2</v>
      </c>
      <c r="EB41" s="3">
        <v>16538.099999999999</v>
      </c>
      <c r="EC41" s="3">
        <v>17163.7</v>
      </c>
      <c r="ED41" s="3">
        <v>17579.3</v>
      </c>
      <c r="EE41" s="3">
        <v>17700.900000000001</v>
      </c>
      <c r="EF41" s="3">
        <v>17634.3</v>
      </c>
      <c r="EG41" s="3">
        <v>18136.2</v>
      </c>
      <c r="EH41" s="3">
        <v>17944.900000000001</v>
      </c>
      <c r="EI41" s="3">
        <v>17883.900000000001</v>
      </c>
      <c r="EJ41" s="3">
        <v>17778.8</v>
      </c>
      <c r="EK41" s="3">
        <v>17795.3</v>
      </c>
      <c r="EL41" s="3">
        <v>17711.900000000001</v>
      </c>
      <c r="EM41" s="3">
        <v>17642.900000000001</v>
      </c>
    </row>
    <row r="42" spans="1:143" ht="20.100000000000001" customHeight="1" x14ac:dyDescent="0.3">
      <c r="A42" s="4" t="s">
        <v>183</v>
      </c>
      <c r="B42" s="3">
        <v>9956.7000000000007</v>
      </c>
      <c r="C42" s="3">
        <v>10046.9</v>
      </c>
      <c r="D42" s="3">
        <v>10231.799999999999</v>
      </c>
      <c r="E42" s="3">
        <v>10477.1</v>
      </c>
      <c r="F42" s="3">
        <v>10665.3</v>
      </c>
      <c r="G42" s="3">
        <v>10817.6</v>
      </c>
      <c r="H42" s="3">
        <v>11014.9</v>
      </c>
      <c r="I42" s="3">
        <v>11179.6</v>
      </c>
      <c r="J42" s="3">
        <v>11391.3</v>
      </c>
      <c r="K42" s="3">
        <v>11564.8</v>
      </c>
      <c r="L42" s="3">
        <v>11763.1</v>
      </c>
      <c r="M42" s="3">
        <v>12040.1</v>
      </c>
      <c r="N42" s="3">
        <v>12221.2</v>
      </c>
      <c r="O42" s="3">
        <v>12384.2</v>
      </c>
      <c r="P42" s="3">
        <v>12564.7</v>
      </c>
      <c r="Q42" s="3">
        <v>12753.8</v>
      </c>
      <c r="R42" s="3">
        <v>12890.1</v>
      </c>
      <c r="S42" s="3">
        <v>13059.8</v>
      </c>
      <c r="T42" s="3">
        <v>13255.3</v>
      </c>
      <c r="U42" s="3">
        <v>13392.5</v>
      </c>
      <c r="V42" s="3">
        <v>13412.6</v>
      </c>
      <c r="W42" s="3">
        <v>13568.9</v>
      </c>
      <c r="X42" s="3">
        <v>13763.1</v>
      </c>
      <c r="Y42" s="3">
        <v>14052.1</v>
      </c>
      <c r="Z42" s="3">
        <v>14345.3</v>
      </c>
      <c r="AA42" s="3">
        <v>14503.4</v>
      </c>
      <c r="AB42" s="3">
        <v>14687.8</v>
      </c>
      <c r="AC42" s="3">
        <v>14912.8</v>
      </c>
      <c r="AD42" s="3">
        <v>15216</v>
      </c>
      <c r="AE42" s="3">
        <v>15398.6</v>
      </c>
      <c r="AF42" s="3">
        <v>15560.4</v>
      </c>
      <c r="AG42" s="3">
        <v>15797.5</v>
      </c>
      <c r="AH42" s="3">
        <v>15983.3</v>
      </c>
      <c r="AI42" s="3">
        <v>16236.4</v>
      </c>
      <c r="AJ42" s="3">
        <v>16023.2</v>
      </c>
      <c r="AK42" s="3">
        <v>16125.6</v>
      </c>
      <c r="AL42" s="3">
        <v>16482.3</v>
      </c>
      <c r="AM42" s="3">
        <v>16831</v>
      </c>
      <c r="AN42" s="3">
        <v>17008.400000000001</v>
      </c>
      <c r="AO42" s="3">
        <v>17608.900000000001</v>
      </c>
      <c r="AP42" s="3">
        <v>16994.7</v>
      </c>
      <c r="AQ42" s="3">
        <v>17134.400000000001</v>
      </c>
      <c r="AR42" s="3">
        <v>17322.3</v>
      </c>
      <c r="AS42" s="3">
        <v>17451</v>
      </c>
      <c r="AT42" s="3">
        <v>17465.900000000001</v>
      </c>
      <c r="AU42" s="3">
        <v>17498.099999999999</v>
      </c>
      <c r="AV42" s="3">
        <v>17592.900000000001</v>
      </c>
      <c r="AW42" s="3">
        <v>17778.2</v>
      </c>
      <c r="AX42" s="3">
        <v>17976.900000000001</v>
      </c>
      <c r="AY42" s="3">
        <v>18072.3</v>
      </c>
      <c r="AZ42" s="3">
        <v>18212.5</v>
      </c>
      <c r="BA42" s="3">
        <v>18372.5</v>
      </c>
      <c r="BB42" s="3">
        <v>18564.900000000001</v>
      </c>
      <c r="BC42" s="3">
        <v>18703.8</v>
      </c>
      <c r="BD42" s="3">
        <v>18877.099999999999</v>
      </c>
      <c r="BE42" s="3">
        <v>19065.099999999999</v>
      </c>
      <c r="BF42" s="3">
        <v>19231.7</v>
      </c>
      <c r="BG42" s="3">
        <v>19409.900000000001</v>
      </c>
      <c r="BH42" s="3">
        <v>19595.599999999999</v>
      </c>
      <c r="BI42" s="3">
        <v>19818.400000000001</v>
      </c>
      <c r="BJ42" s="3">
        <v>20010.3</v>
      </c>
      <c r="BK42" s="3">
        <v>20256.400000000001</v>
      </c>
      <c r="BL42" s="3">
        <v>20472</v>
      </c>
      <c r="BM42" s="3">
        <v>20663.7</v>
      </c>
      <c r="BN42" s="3">
        <v>21026.1</v>
      </c>
      <c r="BO42" s="3">
        <v>21101.8</v>
      </c>
      <c r="BP42" s="3">
        <v>21263.5</v>
      </c>
      <c r="BQ42" s="3">
        <v>21426.7</v>
      </c>
      <c r="BR42" s="3">
        <v>21643.9</v>
      </c>
      <c r="BS42" s="3">
        <v>21778.400000000001</v>
      </c>
      <c r="BT42" s="3">
        <v>21990</v>
      </c>
      <c r="BU42" s="3">
        <v>22139.4</v>
      </c>
      <c r="BV42" s="3">
        <v>22284.3</v>
      </c>
      <c r="BW42" s="3">
        <v>22366.3</v>
      </c>
      <c r="BX42" s="3">
        <v>22479.599999999999</v>
      </c>
      <c r="BY42" s="3">
        <v>22691.599999999999</v>
      </c>
      <c r="BZ42" s="3">
        <v>23083.5</v>
      </c>
      <c r="CA42" s="3">
        <v>23292.400000000001</v>
      </c>
      <c r="CB42" s="3">
        <v>23489.1</v>
      </c>
      <c r="CC42" s="3">
        <v>23666.799999999999</v>
      </c>
      <c r="CD42" s="3">
        <v>23775.9</v>
      </c>
      <c r="CE42" s="3">
        <v>24018.2</v>
      </c>
      <c r="CF42" s="3">
        <v>24264.6</v>
      </c>
      <c r="CG42" s="3">
        <v>24517.3</v>
      </c>
      <c r="CH42" s="3">
        <v>24538.1</v>
      </c>
      <c r="CI42" s="3">
        <v>24798.400000000001</v>
      </c>
      <c r="CJ42" s="3">
        <v>24956</v>
      </c>
      <c r="CK42" s="3">
        <v>25167.1</v>
      </c>
      <c r="CL42" s="3">
        <v>25447.3</v>
      </c>
      <c r="CM42" s="3">
        <v>25703.5</v>
      </c>
      <c r="CN42" s="3">
        <v>25856.6</v>
      </c>
      <c r="CO42" s="3">
        <v>26013.4</v>
      </c>
      <c r="CP42" s="3">
        <v>26123.599999999999</v>
      </c>
      <c r="CQ42" s="3">
        <v>26308.9</v>
      </c>
      <c r="CR42" s="3">
        <v>26434.2</v>
      </c>
      <c r="CS42" s="3">
        <v>26700.1</v>
      </c>
      <c r="CT42" s="3">
        <v>26848.9</v>
      </c>
      <c r="CU42" s="3">
        <v>27010.2</v>
      </c>
      <c r="CV42" s="3">
        <v>27204.5</v>
      </c>
      <c r="CW42" s="3">
        <v>27555.3</v>
      </c>
      <c r="CX42" s="3">
        <v>27663.9</v>
      </c>
      <c r="CY42" s="3">
        <v>27880.2</v>
      </c>
      <c r="CZ42" s="3">
        <v>28099.1</v>
      </c>
      <c r="DA42" s="3">
        <v>28093.9</v>
      </c>
      <c r="DB42" s="3">
        <v>28376</v>
      </c>
      <c r="DC42" s="3">
        <v>28544.7</v>
      </c>
      <c r="DD42" s="3">
        <v>28720.6</v>
      </c>
      <c r="DE42" s="3">
        <v>28841.599999999999</v>
      </c>
      <c r="DF42" s="3">
        <v>29096.9</v>
      </c>
      <c r="DG42" s="3">
        <v>29279.200000000001</v>
      </c>
      <c r="DH42" s="3">
        <v>29441.9</v>
      </c>
      <c r="DI42" s="3">
        <v>29697</v>
      </c>
      <c r="DJ42" s="3">
        <v>30052.9</v>
      </c>
      <c r="DK42" s="3">
        <v>30221.1</v>
      </c>
      <c r="DL42" s="3">
        <v>30399.9</v>
      </c>
      <c r="DM42" s="3">
        <v>30721</v>
      </c>
      <c r="DN42" s="3">
        <v>31148.3</v>
      </c>
      <c r="DO42" s="3">
        <v>31371.1</v>
      </c>
      <c r="DP42" s="3">
        <v>31695.7</v>
      </c>
      <c r="DQ42" s="3">
        <v>31970.9</v>
      </c>
      <c r="DR42" s="3">
        <v>32100.5</v>
      </c>
      <c r="DS42" s="3">
        <v>32269.5</v>
      </c>
      <c r="DT42" s="3">
        <v>32587</v>
      </c>
      <c r="DU42" s="3">
        <v>32894</v>
      </c>
      <c r="DV42" s="3">
        <v>33210.699999999997</v>
      </c>
      <c r="DW42" s="3">
        <v>33748.199999999997</v>
      </c>
      <c r="DX42" s="3">
        <v>33859.1</v>
      </c>
      <c r="DY42" s="3">
        <v>34050.300000000003</v>
      </c>
      <c r="DZ42" s="3">
        <v>34344.300000000003</v>
      </c>
      <c r="EA42" s="3">
        <v>34646.1</v>
      </c>
      <c r="EB42" s="3">
        <v>34884.6</v>
      </c>
      <c r="EC42" s="3">
        <v>35128.199999999997</v>
      </c>
      <c r="ED42" s="3">
        <v>35231.699999999997</v>
      </c>
      <c r="EE42" s="3">
        <v>35314.199999999997</v>
      </c>
      <c r="EF42" s="3">
        <v>35504.6</v>
      </c>
      <c r="EG42" s="3">
        <v>35524.800000000003</v>
      </c>
      <c r="EH42" s="3">
        <v>35795.9</v>
      </c>
      <c r="EI42" s="3">
        <v>36317.599999999999</v>
      </c>
      <c r="EJ42" s="3">
        <v>36221.9</v>
      </c>
      <c r="EK42" s="3">
        <v>36422</v>
      </c>
      <c r="EL42" s="3">
        <v>36633.599999999999</v>
      </c>
      <c r="EM42" s="3">
        <v>37047.599999999999</v>
      </c>
    </row>
    <row r="43" spans="1:143" ht="20.100000000000001" customHeight="1" x14ac:dyDescent="0.3">
      <c r="A43" s="4" t="s">
        <v>184</v>
      </c>
      <c r="B43" s="3">
        <v>9634.2999999999993</v>
      </c>
      <c r="C43" s="3">
        <v>9725.1</v>
      </c>
      <c r="D43" s="3">
        <v>9795.7999999999993</v>
      </c>
      <c r="E43" s="3">
        <v>9857</v>
      </c>
      <c r="F43" s="3">
        <v>9956.1</v>
      </c>
      <c r="G43" s="3">
        <v>10102.9</v>
      </c>
      <c r="H43" s="3">
        <v>10251.9</v>
      </c>
      <c r="I43" s="3">
        <v>10380.1</v>
      </c>
      <c r="J43" s="3">
        <v>10451.799999999999</v>
      </c>
      <c r="K43" s="3">
        <v>10572</v>
      </c>
      <c r="L43" s="3">
        <v>10680.6</v>
      </c>
      <c r="M43" s="3">
        <v>10805.3</v>
      </c>
      <c r="N43" s="3">
        <v>10873.9</v>
      </c>
      <c r="O43" s="3">
        <v>10993.1</v>
      </c>
      <c r="P43" s="3">
        <v>11118.8</v>
      </c>
      <c r="Q43" s="3">
        <v>11237.8</v>
      </c>
      <c r="R43" s="3">
        <v>11409</v>
      </c>
      <c r="S43" s="3">
        <v>11493.9</v>
      </c>
      <c r="T43" s="3">
        <v>11588.1</v>
      </c>
      <c r="U43" s="3">
        <v>11717.6</v>
      </c>
      <c r="V43" s="3">
        <v>11936.9</v>
      </c>
      <c r="W43" s="3">
        <v>11852.2</v>
      </c>
      <c r="X43" s="3">
        <v>12149.2</v>
      </c>
      <c r="Y43" s="3">
        <v>12196.2</v>
      </c>
      <c r="Z43" s="3">
        <v>12236.8</v>
      </c>
      <c r="AA43" s="3">
        <v>12442.9</v>
      </c>
      <c r="AB43" s="3">
        <v>12554.3</v>
      </c>
      <c r="AC43" s="3">
        <v>12643.1</v>
      </c>
      <c r="AD43" s="3">
        <v>12705.2</v>
      </c>
      <c r="AE43" s="3">
        <v>12813.8</v>
      </c>
      <c r="AF43" s="3">
        <v>12932.7</v>
      </c>
      <c r="AG43" s="3">
        <v>12980</v>
      </c>
      <c r="AH43" s="3">
        <v>12708.3</v>
      </c>
      <c r="AI43" s="3">
        <v>12675.4</v>
      </c>
      <c r="AJ43" s="3">
        <v>12813.7</v>
      </c>
      <c r="AK43" s="3">
        <v>12916.9</v>
      </c>
      <c r="AL43" s="3">
        <v>12970.2</v>
      </c>
      <c r="AM43" s="3">
        <v>13077.6</v>
      </c>
      <c r="AN43" s="3">
        <v>13244.2</v>
      </c>
      <c r="AO43" s="3">
        <v>13478.1</v>
      </c>
      <c r="AP43" s="3">
        <v>13454.1</v>
      </c>
      <c r="AQ43" s="3">
        <v>13489.3</v>
      </c>
      <c r="AR43" s="3">
        <v>13625.1</v>
      </c>
      <c r="AS43" s="3">
        <v>13820.5</v>
      </c>
      <c r="AT43" s="3">
        <v>14093.4</v>
      </c>
      <c r="AU43" s="3">
        <v>14267.1</v>
      </c>
      <c r="AV43" s="3">
        <v>14436.1</v>
      </c>
      <c r="AW43" s="3">
        <v>14638.9</v>
      </c>
      <c r="AX43" s="3">
        <v>14974</v>
      </c>
      <c r="AY43" s="3">
        <v>15109.9</v>
      </c>
      <c r="AZ43" s="3">
        <v>15388.7</v>
      </c>
      <c r="BA43" s="3">
        <v>15560.5</v>
      </c>
      <c r="BB43" s="3">
        <v>15840.6</v>
      </c>
      <c r="BC43" s="3">
        <v>16084.1</v>
      </c>
      <c r="BD43" s="3">
        <v>16176.4</v>
      </c>
      <c r="BE43" s="3">
        <v>16332.9</v>
      </c>
      <c r="BF43" s="3">
        <v>16480.5</v>
      </c>
      <c r="BG43" s="3">
        <v>16655.599999999999</v>
      </c>
      <c r="BH43" s="3">
        <v>16748.8</v>
      </c>
      <c r="BI43" s="3">
        <v>16905.8</v>
      </c>
      <c r="BJ43" s="3">
        <v>16977.599999999999</v>
      </c>
      <c r="BK43" s="3">
        <v>17115</v>
      </c>
      <c r="BL43" s="3">
        <v>17276.3</v>
      </c>
      <c r="BM43" s="3">
        <v>17408.599999999999</v>
      </c>
      <c r="BN43" s="3">
        <v>17689.400000000001</v>
      </c>
      <c r="BO43" s="3">
        <v>17983.5</v>
      </c>
      <c r="BP43" s="3">
        <v>18234.7</v>
      </c>
      <c r="BQ43" s="3">
        <v>18307.099999999999</v>
      </c>
      <c r="BR43" s="3">
        <v>18437.599999999999</v>
      </c>
      <c r="BS43" s="3">
        <v>18547.8</v>
      </c>
      <c r="BT43" s="3">
        <v>18798.5</v>
      </c>
      <c r="BU43" s="3">
        <v>18999.5</v>
      </c>
      <c r="BV43" s="3">
        <v>19148.2</v>
      </c>
      <c r="BW43" s="3">
        <v>19317</v>
      </c>
      <c r="BX43" s="3">
        <v>19522.400000000001</v>
      </c>
      <c r="BY43" s="3">
        <v>19568.3</v>
      </c>
      <c r="BZ43" s="3">
        <v>19464</v>
      </c>
      <c r="CA43" s="3">
        <v>19574.7</v>
      </c>
      <c r="CB43" s="3">
        <v>19605.8</v>
      </c>
      <c r="CC43" s="3">
        <v>19775.900000000001</v>
      </c>
      <c r="CD43" s="3">
        <v>19739.2</v>
      </c>
      <c r="CE43" s="3">
        <v>19771.8</v>
      </c>
      <c r="CF43" s="3">
        <v>19939.8</v>
      </c>
      <c r="CG43" s="3">
        <v>20415.5</v>
      </c>
      <c r="CH43" s="3">
        <v>20351.400000000001</v>
      </c>
      <c r="CI43" s="3">
        <v>20464.599999999999</v>
      </c>
      <c r="CJ43" s="3">
        <v>20602.3</v>
      </c>
      <c r="CK43" s="3">
        <v>20622.900000000001</v>
      </c>
      <c r="CL43" s="3">
        <v>20920.900000000001</v>
      </c>
      <c r="CM43" s="3">
        <v>20838.400000000001</v>
      </c>
      <c r="CN43" s="3">
        <v>20861</v>
      </c>
      <c r="CO43" s="3">
        <v>21037.1</v>
      </c>
      <c r="CP43" s="3">
        <v>21199.1</v>
      </c>
      <c r="CQ43" s="3">
        <v>21398.400000000001</v>
      </c>
      <c r="CR43" s="3">
        <v>21559.8</v>
      </c>
      <c r="CS43" s="3">
        <v>21542.3</v>
      </c>
      <c r="CT43" s="3">
        <v>21602.6</v>
      </c>
      <c r="CU43" s="3">
        <v>21553</v>
      </c>
      <c r="CV43" s="3">
        <v>21476</v>
      </c>
      <c r="CW43" s="3">
        <v>21565.9</v>
      </c>
      <c r="CX43" s="3">
        <v>21644</v>
      </c>
      <c r="CY43" s="3">
        <v>21552.5</v>
      </c>
      <c r="CZ43" s="3">
        <v>21638.3</v>
      </c>
      <c r="DA43" s="3">
        <v>21801</v>
      </c>
      <c r="DB43" s="3">
        <v>21768.1</v>
      </c>
      <c r="DC43" s="3">
        <v>21836.9</v>
      </c>
      <c r="DD43" s="3">
        <v>21922</v>
      </c>
      <c r="DE43" s="3">
        <v>22051.599999999999</v>
      </c>
      <c r="DF43" s="3">
        <v>22046.9</v>
      </c>
      <c r="DG43" s="3">
        <v>22081</v>
      </c>
      <c r="DH43" s="3">
        <v>22110.400000000001</v>
      </c>
      <c r="DI43" s="3">
        <v>22186.1</v>
      </c>
      <c r="DJ43" s="3">
        <v>22443.599999999999</v>
      </c>
      <c r="DK43" s="3">
        <v>22570.1</v>
      </c>
      <c r="DL43" s="3">
        <v>22778.6</v>
      </c>
      <c r="DM43" s="3">
        <v>22866.799999999999</v>
      </c>
      <c r="DN43" s="3">
        <v>22674.799999999999</v>
      </c>
      <c r="DO43" s="3">
        <v>22871.7</v>
      </c>
      <c r="DP43" s="3">
        <v>23116.5</v>
      </c>
      <c r="DQ43" s="3">
        <v>23272.7</v>
      </c>
      <c r="DR43" s="3">
        <v>22591.7</v>
      </c>
      <c r="DS43" s="3">
        <v>22574.799999999999</v>
      </c>
      <c r="DT43" s="3">
        <v>22483.8</v>
      </c>
      <c r="DU43" s="3">
        <v>22785.7</v>
      </c>
      <c r="DV43" s="3">
        <v>23344.799999999999</v>
      </c>
      <c r="DW43" s="3">
        <v>23778.1</v>
      </c>
      <c r="DX43" s="3">
        <v>24115.4</v>
      </c>
      <c r="DY43" s="3">
        <v>24245.7</v>
      </c>
      <c r="DZ43" s="3">
        <v>24416.2</v>
      </c>
      <c r="EA43" s="3">
        <v>24619.7</v>
      </c>
      <c r="EB43" s="3">
        <v>24768.9</v>
      </c>
      <c r="EC43" s="3">
        <v>24903.3</v>
      </c>
      <c r="ED43" s="3">
        <v>24902.3</v>
      </c>
      <c r="EE43" s="3">
        <v>24974.1</v>
      </c>
      <c r="EF43" s="3">
        <v>25031.4</v>
      </c>
      <c r="EG43" s="3">
        <v>25072.6</v>
      </c>
      <c r="EH43" s="3">
        <v>25193.9</v>
      </c>
      <c r="EI43" s="3">
        <v>25259.7</v>
      </c>
      <c r="EJ43" s="3">
        <v>25223.200000000001</v>
      </c>
      <c r="EK43" s="3">
        <v>25478.6</v>
      </c>
      <c r="EL43" s="3">
        <v>25246.799999999999</v>
      </c>
      <c r="EM43" s="3">
        <v>25281.4</v>
      </c>
    </row>
    <row r="44" spans="1:143" ht="20.100000000000001" customHeight="1" x14ac:dyDescent="0.3">
      <c r="A44" s="4" t="s">
        <v>185</v>
      </c>
      <c r="B44" s="3">
        <v>4328.8</v>
      </c>
      <c r="C44" s="3">
        <v>4498.7</v>
      </c>
      <c r="D44" s="3">
        <v>4370</v>
      </c>
      <c r="E44" s="3">
        <v>4406</v>
      </c>
      <c r="F44" s="3">
        <v>4711.5</v>
      </c>
      <c r="G44" s="3">
        <v>4873.2</v>
      </c>
      <c r="H44" s="3">
        <v>4925.1000000000004</v>
      </c>
      <c r="I44" s="3">
        <v>4976.6000000000004</v>
      </c>
      <c r="J44" s="3">
        <v>5040.6000000000004</v>
      </c>
      <c r="K44" s="3">
        <v>5242.9</v>
      </c>
      <c r="L44" s="3">
        <v>5363.1</v>
      </c>
      <c r="M44" s="3">
        <v>5411.1</v>
      </c>
      <c r="N44" s="3">
        <v>5418.1</v>
      </c>
      <c r="O44" s="3">
        <v>5598.4</v>
      </c>
      <c r="P44" s="3">
        <v>5792.1</v>
      </c>
      <c r="Q44" s="3">
        <v>5848.8</v>
      </c>
      <c r="R44" s="3">
        <v>5958.8</v>
      </c>
      <c r="S44" s="3">
        <v>6168.8</v>
      </c>
      <c r="T44" s="3">
        <v>6388.1</v>
      </c>
      <c r="U44" s="3">
        <v>6542</v>
      </c>
      <c r="V44" s="3">
        <v>6391.6</v>
      </c>
      <c r="W44" s="3">
        <v>6636.5</v>
      </c>
      <c r="X44" s="3">
        <v>6937.9</v>
      </c>
      <c r="Y44" s="3">
        <v>7183.1</v>
      </c>
      <c r="Z44" s="3">
        <v>6778.7</v>
      </c>
      <c r="AA44" s="3">
        <v>7014.1</v>
      </c>
      <c r="AB44" s="3">
        <v>7196.7</v>
      </c>
      <c r="AC44" s="3">
        <v>7378.5</v>
      </c>
      <c r="AD44" s="3">
        <v>7577.3</v>
      </c>
      <c r="AE44" s="3">
        <v>7695.8</v>
      </c>
      <c r="AF44" s="3">
        <v>7656.1</v>
      </c>
      <c r="AG44" s="3">
        <v>7702.5</v>
      </c>
      <c r="AH44" s="3">
        <v>7177.7</v>
      </c>
      <c r="AI44" s="3">
        <v>7336.9</v>
      </c>
      <c r="AJ44" s="3">
        <v>7513.3</v>
      </c>
      <c r="AK44" s="3">
        <v>7515.1</v>
      </c>
      <c r="AL44" s="3">
        <v>7576</v>
      </c>
      <c r="AM44" s="3">
        <v>7877.5</v>
      </c>
      <c r="AN44" s="3">
        <v>7972.8</v>
      </c>
      <c r="AO44" s="3">
        <v>7838.4</v>
      </c>
      <c r="AP44" s="3">
        <v>7981.2</v>
      </c>
      <c r="AQ44" s="3">
        <v>7975.9</v>
      </c>
      <c r="AR44" s="3">
        <v>7428.3</v>
      </c>
      <c r="AS44" s="3">
        <v>7878.6</v>
      </c>
      <c r="AT44" s="3">
        <v>7401.6</v>
      </c>
      <c r="AU44" s="3">
        <v>7297.4</v>
      </c>
      <c r="AV44" s="3">
        <v>7518.1</v>
      </c>
      <c r="AW44" s="3">
        <v>7870.9</v>
      </c>
      <c r="AX44" s="3">
        <v>7954.3</v>
      </c>
      <c r="AY44" s="3">
        <v>8007.1</v>
      </c>
      <c r="AZ44" s="3">
        <v>7917</v>
      </c>
      <c r="BA44" s="3">
        <v>8392.2000000000007</v>
      </c>
      <c r="BB44" s="3">
        <v>8699.5</v>
      </c>
      <c r="BC44" s="3">
        <v>8360</v>
      </c>
      <c r="BD44" s="3">
        <v>8703.6</v>
      </c>
      <c r="BE44" s="3">
        <v>8680</v>
      </c>
      <c r="BF44" s="3">
        <v>8963.4</v>
      </c>
      <c r="BG44" s="3">
        <v>9163.9</v>
      </c>
      <c r="BH44" s="3">
        <v>9261.2000000000007</v>
      </c>
      <c r="BI44" s="3">
        <v>9336.1</v>
      </c>
      <c r="BJ44" s="3">
        <v>9420.2999999999993</v>
      </c>
      <c r="BK44" s="3">
        <v>9836</v>
      </c>
      <c r="BL44" s="3">
        <v>9957.4</v>
      </c>
      <c r="BM44" s="3">
        <v>10143.1</v>
      </c>
      <c r="BN44" s="3">
        <v>10155.4</v>
      </c>
      <c r="BO44" s="3">
        <v>10374</v>
      </c>
      <c r="BP44" s="3">
        <v>10694.3</v>
      </c>
      <c r="BQ44" s="3">
        <v>10745.9</v>
      </c>
      <c r="BR44" s="3">
        <v>11235.7</v>
      </c>
      <c r="BS44" s="3">
        <v>11350.5</v>
      </c>
      <c r="BT44" s="3">
        <v>11469</v>
      </c>
      <c r="BU44" s="3">
        <v>11741.5</v>
      </c>
      <c r="BV44" s="3">
        <v>11735</v>
      </c>
      <c r="BW44" s="3">
        <v>11841.4</v>
      </c>
      <c r="BX44" s="3">
        <v>11958.5</v>
      </c>
      <c r="BY44" s="3">
        <v>12155.5</v>
      </c>
      <c r="BZ44" s="3">
        <v>12495</v>
      </c>
      <c r="CA44" s="3">
        <v>12606.1</v>
      </c>
      <c r="CB44" s="3">
        <v>13006.7</v>
      </c>
      <c r="CC44" s="3">
        <v>13434.6</v>
      </c>
      <c r="CD44" s="3">
        <v>13323.9</v>
      </c>
      <c r="CE44" s="3">
        <v>13708.9</v>
      </c>
      <c r="CF44" s="3">
        <v>13939.2</v>
      </c>
      <c r="CG44" s="3">
        <v>14190.7</v>
      </c>
      <c r="CH44" s="3">
        <v>14552.8</v>
      </c>
      <c r="CI44" s="3">
        <v>14800.8</v>
      </c>
      <c r="CJ44" s="3">
        <v>14833.8</v>
      </c>
      <c r="CK44" s="3">
        <v>14858.7</v>
      </c>
      <c r="CL44" s="3">
        <v>15647.5</v>
      </c>
      <c r="CM44" s="3">
        <v>15805.8</v>
      </c>
      <c r="CN44" s="3">
        <v>15967.7</v>
      </c>
      <c r="CO44" s="3">
        <v>16009.1</v>
      </c>
      <c r="CP44" s="3">
        <v>16130.5</v>
      </c>
      <c r="CQ44" s="3">
        <v>16781.5</v>
      </c>
      <c r="CR44" s="3">
        <v>17216.7</v>
      </c>
      <c r="CS44" s="3">
        <v>17434</v>
      </c>
      <c r="CT44" s="3">
        <v>17825</v>
      </c>
      <c r="CU44" s="3">
        <v>17978.599999999999</v>
      </c>
      <c r="CV44" s="3">
        <v>18251.099999999999</v>
      </c>
      <c r="CW44" s="3">
        <v>18512.8</v>
      </c>
      <c r="CX44" s="3">
        <v>18802.2</v>
      </c>
      <c r="CY44" s="3">
        <v>18792.400000000001</v>
      </c>
      <c r="CZ44" s="3">
        <v>18911</v>
      </c>
      <c r="DA44" s="3">
        <v>19568</v>
      </c>
      <c r="DB44" s="3">
        <v>19951.5</v>
      </c>
      <c r="DC44" s="3">
        <v>20343</v>
      </c>
      <c r="DD44" s="3">
        <v>20708.099999999999</v>
      </c>
      <c r="DE44" s="3">
        <v>20839.7</v>
      </c>
      <c r="DF44" s="3">
        <v>21230.2</v>
      </c>
      <c r="DG44" s="3">
        <v>21844.7</v>
      </c>
      <c r="DH44" s="3">
        <v>22031.599999999999</v>
      </c>
      <c r="DI44" s="3">
        <v>22244.1</v>
      </c>
      <c r="DJ44" s="3">
        <v>22756.2</v>
      </c>
      <c r="DK44" s="3">
        <v>23289.7</v>
      </c>
      <c r="DL44" s="3">
        <v>24044.799999999999</v>
      </c>
      <c r="DM44" s="3">
        <v>24628.5</v>
      </c>
      <c r="DN44" s="3">
        <v>25236.5</v>
      </c>
      <c r="DO44" s="3">
        <v>25950.3</v>
      </c>
      <c r="DP44" s="3">
        <v>26412</v>
      </c>
      <c r="DQ44" s="3">
        <v>26756.799999999999</v>
      </c>
      <c r="DR44" s="3">
        <v>26537.8</v>
      </c>
      <c r="DS44" s="3">
        <v>26030.7</v>
      </c>
      <c r="DT44" s="3">
        <v>26692.1</v>
      </c>
      <c r="DU44" s="3">
        <v>26774</v>
      </c>
      <c r="DV44" s="3">
        <v>26992.6</v>
      </c>
      <c r="DW44" s="3">
        <v>27735.7</v>
      </c>
      <c r="DX44" s="3">
        <v>28670.3</v>
      </c>
      <c r="DY44" s="3">
        <v>28971.9</v>
      </c>
      <c r="DZ44" s="3">
        <v>29345.8</v>
      </c>
      <c r="EA44" s="3">
        <v>29859.8</v>
      </c>
      <c r="EB44" s="3">
        <v>29906.6</v>
      </c>
      <c r="EC44" s="3">
        <v>30143.200000000001</v>
      </c>
      <c r="ED44" s="3">
        <v>30402.5</v>
      </c>
      <c r="EE44" s="3">
        <v>30449.599999999999</v>
      </c>
      <c r="EF44" s="3">
        <v>30768.5</v>
      </c>
      <c r="EG44" s="3">
        <v>31135.200000000001</v>
      </c>
      <c r="EH44" s="3">
        <v>31491.7</v>
      </c>
      <c r="EI44" s="3">
        <v>31373.4</v>
      </c>
      <c r="EJ44" s="3">
        <v>31930.5</v>
      </c>
      <c r="EK44" s="3">
        <v>32664.2</v>
      </c>
      <c r="EL44" s="3">
        <v>32684.400000000001</v>
      </c>
      <c r="EM44" s="3">
        <v>33119.4</v>
      </c>
    </row>
    <row r="45" spans="1:143" ht="20.100000000000001" customHeight="1" x14ac:dyDescent="0.3">
      <c r="A45" s="4" t="s">
        <v>186</v>
      </c>
      <c r="B45" s="3">
        <v>3481.9</v>
      </c>
      <c r="C45" s="3">
        <v>3541</v>
      </c>
      <c r="D45" s="3">
        <v>3626</v>
      </c>
      <c r="E45" s="3">
        <v>3745</v>
      </c>
      <c r="F45" s="3">
        <v>3837.1</v>
      </c>
      <c r="G45" s="3">
        <v>3913.5</v>
      </c>
      <c r="H45" s="3">
        <v>4089.4</v>
      </c>
      <c r="I45" s="3">
        <v>4174.3999999999996</v>
      </c>
      <c r="J45" s="3">
        <v>4228</v>
      </c>
      <c r="K45" s="3">
        <v>4276.1000000000004</v>
      </c>
      <c r="L45" s="3">
        <v>4440.2</v>
      </c>
      <c r="M45" s="3">
        <v>4477.1000000000004</v>
      </c>
      <c r="N45" s="3">
        <v>4538.6000000000004</v>
      </c>
      <c r="O45" s="3">
        <v>4666.8999999999996</v>
      </c>
      <c r="P45" s="3">
        <v>4822.8999999999996</v>
      </c>
      <c r="Q45" s="3">
        <v>4984.5</v>
      </c>
      <c r="R45" s="3">
        <v>5229.8</v>
      </c>
      <c r="S45" s="3">
        <v>5336</v>
      </c>
      <c r="T45" s="3">
        <v>5457.8</v>
      </c>
      <c r="U45" s="3">
        <v>5599.5</v>
      </c>
      <c r="V45" s="3">
        <v>5769.8</v>
      </c>
      <c r="W45" s="3">
        <v>5946.1</v>
      </c>
      <c r="X45" s="3">
        <v>6106.1</v>
      </c>
      <c r="Y45" s="3">
        <v>6276.4</v>
      </c>
      <c r="Z45" s="3">
        <v>6399.4</v>
      </c>
      <c r="AA45" s="3">
        <v>6570.4</v>
      </c>
      <c r="AB45" s="3">
        <v>6691</v>
      </c>
      <c r="AC45" s="3">
        <v>6876</v>
      </c>
      <c r="AD45" s="3">
        <v>7016</v>
      </c>
      <c r="AE45" s="3">
        <v>7114.1</v>
      </c>
      <c r="AF45" s="3">
        <v>7229.1</v>
      </c>
      <c r="AG45" s="3">
        <v>7382</v>
      </c>
      <c r="AH45" s="3">
        <v>6574.6</v>
      </c>
      <c r="AI45" s="3">
        <v>6724.6</v>
      </c>
      <c r="AJ45" s="3">
        <v>6665.6</v>
      </c>
      <c r="AK45" s="3">
        <v>6960.1</v>
      </c>
      <c r="AL45" s="3">
        <v>7219.6</v>
      </c>
      <c r="AM45" s="3">
        <v>7556.5</v>
      </c>
      <c r="AN45" s="3">
        <v>7488.1</v>
      </c>
      <c r="AO45" s="3">
        <v>7820.9</v>
      </c>
      <c r="AP45" s="3">
        <v>7990</v>
      </c>
      <c r="AQ45" s="3">
        <v>8080.5</v>
      </c>
      <c r="AR45" s="3">
        <v>8312.4</v>
      </c>
      <c r="AS45" s="3">
        <v>8520.4</v>
      </c>
      <c r="AT45" s="3">
        <v>8583.6</v>
      </c>
      <c r="AU45" s="3">
        <v>8813.1</v>
      </c>
      <c r="AV45" s="3">
        <v>9093.2000000000007</v>
      </c>
      <c r="AW45" s="3">
        <v>9288.2999999999993</v>
      </c>
      <c r="AX45" s="3">
        <v>9608.7000000000007</v>
      </c>
      <c r="AY45" s="3">
        <v>10017.5</v>
      </c>
      <c r="AZ45" s="3">
        <v>10164.299999999999</v>
      </c>
      <c r="BA45" s="3">
        <v>10136.4</v>
      </c>
      <c r="BB45" s="3">
        <v>9688.5</v>
      </c>
      <c r="BC45" s="3">
        <v>9869.9</v>
      </c>
      <c r="BD45" s="3">
        <v>9899.1</v>
      </c>
      <c r="BE45" s="3">
        <v>10089</v>
      </c>
      <c r="BF45" s="3">
        <v>9817.7999999999993</v>
      </c>
      <c r="BG45" s="3">
        <v>9648.2000000000007</v>
      </c>
      <c r="BH45" s="3">
        <v>9824.2000000000007</v>
      </c>
      <c r="BI45" s="3">
        <v>9974.4</v>
      </c>
      <c r="BJ45" s="3">
        <v>10120</v>
      </c>
      <c r="BK45" s="3">
        <v>10217.9</v>
      </c>
      <c r="BL45" s="3">
        <v>10171.1</v>
      </c>
      <c r="BM45" s="3">
        <v>10194.200000000001</v>
      </c>
      <c r="BN45" s="3">
        <v>10718.4</v>
      </c>
      <c r="BO45" s="3">
        <v>10708.5</v>
      </c>
      <c r="BP45" s="3">
        <v>10901.9</v>
      </c>
      <c r="BQ45" s="3">
        <v>10992.3</v>
      </c>
      <c r="BR45" s="3">
        <v>11410.2</v>
      </c>
      <c r="BS45" s="3">
        <v>11477.7</v>
      </c>
      <c r="BT45" s="3">
        <v>11658.2</v>
      </c>
      <c r="BU45" s="3">
        <v>11740.8</v>
      </c>
      <c r="BV45" s="3">
        <v>11861.9</v>
      </c>
      <c r="BW45" s="3">
        <v>11939.4</v>
      </c>
      <c r="BX45" s="3">
        <v>11886.7</v>
      </c>
      <c r="BY45" s="3">
        <v>11963.4</v>
      </c>
      <c r="BZ45" s="3">
        <v>11892.1</v>
      </c>
      <c r="CA45" s="3">
        <v>11848.4</v>
      </c>
      <c r="CB45" s="3">
        <v>12132.6</v>
      </c>
      <c r="CC45" s="3">
        <v>12123.6</v>
      </c>
      <c r="CD45" s="3">
        <v>12397.9</v>
      </c>
      <c r="CE45" s="3">
        <v>12612.2</v>
      </c>
      <c r="CF45" s="3">
        <v>12754</v>
      </c>
      <c r="CG45" s="3">
        <v>12814.1</v>
      </c>
      <c r="CH45" s="3">
        <v>12705.1</v>
      </c>
      <c r="CI45" s="3">
        <v>12756.7</v>
      </c>
      <c r="CJ45" s="3">
        <v>12566.3</v>
      </c>
      <c r="CK45" s="3">
        <v>12628.8</v>
      </c>
      <c r="CL45" s="3">
        <v>12736.5</v>
      </c>
      <c r="CM45" s="3">
        <v>12726.3</v>
      </c>
      <c r="CN45" s="3">
        <v>12737.5</v>
      </c>
      <c r="CO45" s="3">
        <v>12709.7</v>
      </c>
      <c r="CP45" s="3">
        <v>12676</v>
      </c>
      <c r="CQ45" s="3">
        <v>12783.5</v>
      </c>
      <c r="CR45" s="3">
        <v>12962.2</v>
      </c>
      <c r="CS45" s="3">
        <v>12889.4</v>
      </c>
      <c r="CT45" s="3">
        <v>12773.7</v>
      </c>
      <c r="CU45" s="3">
        <v>12639.4</v>
      </c>
      <c r="CV45" s="3">
        <v>12880.3</v>
      </c>
      <c r="CW45" s="3">
        <v>12744.6</v>
      </c>
      <c r="CX45" s="3">
        <v>12575.4</v>
      </c>
      <c r="CY45" s="3">
        <v>12509.5</v>
      </c>
      <c r="CZ45" s="3">
        <v>12554</v>
      </c>
      <c r="DA45" s="3">
        <v>12786.2</v>
      </c>
      <c r="DB45" s="3">
        <v>12885.3</v>
      </c>
      <c r="DC45" s="3">
        <v>13222.2</v>
      </c>
      <c r="DD45" s="3">
        <v>13242.3</v>
      </c>
      <c r="DE45" s="3">
        <v>13146.5</v>
      </c>
      <c r="DF45" s="3">
        <v>13046.4</v>
      </c>
      <c r="DG45" s="3">
        <v>13101.2</v>
      </c>
      <c r="DH45" s="3">
        <v>13240</v>
      </c>
      <c r="DI45" s="3">
        <v>13075.1</v>
      </c>
      <c r="DJ45" s="3">
        <v>13754.9</v>
      </c>
      <c r="DK45" s="3">
        <v>13482.8</v>
      </c>
      <c r="DL45" s="3">
        <v>13514.9</v>
      </c>
      <c r="DM45" s="3">
        <v>13694.5</v>
      </c>
      <c r="DN45" s="3">
        <v>13753.7</v>
      </c>
      <c r="DO45" s="3">
        <v>14061</v>
      </c>
      <c r="DP45" s="3">
        <v>14074.1</v>
      </c>
      <c r="DQ45" s="3">
        <v>14442.9</v>
      </c>
      <c r="DR45" s="3">
        <v>12793</v>
      </c>
      <c r="DS45" s="3">
        <v>11102.1</v>
      </c>
      <c r="DT45" s="3">
        <v>11540.2</v>
      </c>
      <c r="DU45" s="3">
        <v>11519.5</v>
      </c>
      <c r="DV45" s="3">
        <v>11868.7</v>
      </c>
      <c r="DW45" s="3">
        <v>12032.7</v>
      </c>
      <c r="DX45" s="3">
        <v>11963.5</v>
      </c>
      <c r="DY45" s="3">
        <v>12417.8</v>
      </c>
      <c r="DZ45" s="3">
        <v>12334.6</v>
      </c>
      <c r="EA45" s="3">
        <v>12969</v>
      </c>
      <c r="EB45" s="3">
        <v>13506.4</v>
      </c>
      <c r="EC45" s="3">
        <v>13434.1</v>
      </c>
      <c r="ED45" s="3">
        <v>14172.9</v>
      </c>
      <c r="EE45" s="3">
        <v>14077.6</v>
      </c>
      <c r="EF45" s="3">
        <v>14259</v>
      </c>
      <c r="EG45" s="3">
        <v>14180.1</v>
      </c>
      <c r="EH45" s="3">
        <v>14617.3</v>
      </c>
      <c r="EI45" s="3">
        <v>14524.7</v>
      </c>
      <c r="EJ45" s="3">
        <v>14210.4</v>
      </c>
      <c r="EK45" s="3">
        <v>14190.6</v>
      </c>
      <c r="EL45" s="3">
        <v>14308.3</v>
      </c>
      <c r="EM45" s="3">
        <v>14385.9</v>
      </c>
    </row>
    <row r="46" spans="1:143" ht="20.100000000000001" customHeight="1" x14ac:dyDescent="0.3">
      <c r="A46" s="4" t="s">
        <v>187</v>
      </c>
      <c r="B46" s="3">
        <v>1070.5999999999999</v>
      </c>
      <c r="C46" s="3">
        <v>1085</v>
      </c>
      <c r="D46" s="3">
        <v>1109.3</v>
      </c>
      <c r="E46" s="3">
        <v>1150.5999999999999</v>
      </c>
      <c r="F46" s="3">
        <v>1174.0999999999999</v>
      </c>
      <c r="G46" s="3">
        <v>1221.4000000000001</v>
      </c>
      <c r="H46" s="3">
        <v>1294.3</v>
      </c>
      <c r="I46" s="3">
        <v>1311.7</v>
      </c>
      <c r="J46" s="3">
        <v>1347.1</v>
      </c>
      <c r="K46" s="3">
        <v>1363.3</v>
      </c>
      <c r="L46" s="3">
        <v>1417.9</v>
      </c>
      <c r="M46" s="3">
        <v>1420.7</v>
      </c>
      <c r="N46" s="3">
        <v>1444.3</v>
      </c>
      <c r="O46" s="3">
        <v>1508.8</v>
      </c>
      <c r="P46" s="3">
        <v>1546.3</v>
      </c>
      <c r="Q46" s="3">
        <v>1626.8</v>
      </c>
      <c r="R46" s="3">
        <v>1708.4</v>
      </c>
      <c r="S46" s="3">
        <v>1783</v>
      </c>
      <c r="T46" s="3">
        <v>1835.8</v>
      </c>
      <c r="U46" s="3">
        <v>1908</v>
      </c>
      <c r="V46" s="3">
        <v>1934.1</v>
      </c>
      <c r="W46" s="3">
        <v>2011.9</v>
      </c>
      <c r="X46" s="3">
        <v>2100.4</v>
      </c>
      <c r="Y46" s="3">
        <v>2162.1</v>
      </c>
      <c r="Z46" s="3">
        <v>2244.8000000000002</v>
      </c>
      <c r="AA46" s="3">
        <v>2311.1</v>
      </c>
      <c r="AB46" s="3">
        <v>2351.1</v>
      </c>
      <c r="AC46" s="3">
        <v>2421.1</v>
      </c>
      <c r="AD46" s="3">
        <v>2500.8000000000002</v>
      </c>
      <c r="AE46" s="3">
        <v>2535.4</v>
      </c>
      <c r="AF46" s="3">
        <v>2583.6</v>
      </c>
      <c r="AG46" s="3">
        <v>2654.5</v>
      </c>
      <c r="AH46" s="3">
        <v>2383</v>
      </c>
      <c r="AI46" s="3">
        <v>2459.5</v>
      </c>
      <c r="AJ46" s="3">
        <v>2392.6</v>
      </c>
      <c r="AK46" s="3">
        <v>2588.1999999999998</v>
      </c>
      <c r="AL46" s="3">
        <v>2634.9</v>
      </c>
      <c r="AM46" s="3">
        <v>2793.4</v>
      </c>
      <c r="AN46" s="3">
        <v>2699.8</v>
      </c>
      <c r="AO46" s="3">
        <v>2952.9</v>
      </c>
      <c r="AP46" s="3">
        <v>3012.4</v>
      </c>
      <c r="AQ46" s="3">
        <v>3084.5</v>
      </c>
      <c r="AR46" s="3">
        <v>3185.1</v>
      </c>
      <c r="AS46" s="3">
        <v>3360.1</v>
      </c>
      <c r="AT46" s="3">
        <v>3445.2</v>
      </c>
      <c r="AU46" s="3">
        <v>3621.2</v>
      </c>
      <c r="AV46" s="3">
        <v>3782.3</v>
      </c>
      <c r="AW46" s="3">
        <v>3860.7</v>
      </c>
      <c r="AX46" s="3">
        <v>4068.1</v>
      </c>
      <c r="AY46" s="3">
        <v>4336.3999999999996</v>
      </c>
      <c r="AZ46" s="3">
        <v>4413.3</v>
      </c>
      <c r="BA46" s="3">
        <v>4268.3999999999996</v>
      </c>
      <c r="BB46" s="3">
        <v>4129.3</v>
      </c>
      <c r="BC46" s="3">
        <v>4195.3999999999996</v>
      </c>
      <c r="BD46" s="3">
        <v>4208.7</v>
      </c>
      <c r="BE46" s="3">
        <v>4272.7</v>
      </c>
      <c r="BF46" s="3">
        <v>4238.8</v>
      </c>
      <c r="BG46" s="3">
        <v>4149</v>
      </c>
      <c r="BH46" s="3">
        <v>4274.7</v>
      </c>
      <c r="BI46" s="3">
        <v>4346</v>
      </c>
      <c r="BJ46" s="3">
        <v>4385.6000000000004</v>
      </c>
      <c r="BK46" s="3">
        <v>4459.6000000000004</v>
      </c>
      <c r="BL46" s="3">
        <v>4429.3</v>
      </c>
      <c r="BM46" s="3">
        <v>4452.1000000000004</v>
      </c>
      <c r="BN46" s="3">
        <v>4691.5</v>
      </c>
      <c r="BO46" s="3">
        <v>4671.8</v>
      </c>
      <c r="BP46" s="3">
        <v>4786.2</v>
      </c>
      <c r="BQ46" s="3">
        <v>4850.2</v>
      </c>
      <c r="BR46" s="3">
        <v>5117.6000000000004</v>
      </c>
      <c r="BS46" s="3">
        <v>5163.2</v>
      </c>
      <c r="BT46" s="3">
        <v>5278.2</v>
      </c>
      <c r="BU46" s="3">
        <v>5299.9</v>
      </c>
      <c r="BV46" s="3">
        <v>5377.6</v>
      </c>
      <c r="BW46" s="3">
        <v>5462.8</v>
      </c>
      <c r="BX46" s="3">
        <v>5433.4</v>
      </c>
      <c r="BY46" s="3">
        <v>5529.1</v>
      </c>
      <c r="BZ46" s="3">
        <v>5471.2</v>
      </c>
      <c r="CA46" s="3">
        <v>5456.3</v>
      </c>
      <c r="CB46" s="3">
        <v>5675.5</v>
      </c>
      <c r="CC46" s="3">
        <v>5582</v>
      </c>
      <c r="CD46" s="3">
        <v>5784.3</v>
      </c>
      <c r="CE46" s="3">
        <v>5854.6</v>
      </c>
      <c r="CF46" s="3">
        <v>5897</v>
      </c>
      <c r="CG46" s="3">
        <v>5873.6</v>
      </c>
      <c r="CH46" s="3">
        <v>5740.4</v>
      </c>
      <c r="CI46" s="3">
        <v>5748</v>
      </c>
      <c r="CJ46" s="3">
        <v>5618.2</v>
      </c>
      <c r="CK46" s="3">
        <v>5748.1</v>
      </c>
      <c r="CL46" s="3">
        <v>5663.6</v>
      </c>
      <c r="CM46" s="3">
        <v>5627.2</v>
      </c>
      <c r="CN46" s="3">
        <v>5634.9</v>
      </c>
      <c r="CO46" s="3">
        <v>5567.5</v>
      </c>
      <c r="CP46" s="3">
        <v>5508.2</v>
      </c>
      <c r="CQ46" s="3">
        <v>5623.1</v>
      </c>
      <c r="CR46" s="3">
        <v>5673.6</v>
      </c>
      <c r="CS46" s="3">
        <v>5613.9</v>
      </c>
      <c r="CT46" s="3">
        <v>5563.6</v>
      </c>
      <c r="CU46" s="3">
        <v>5362.7</v>
      </c>
      <c r="CV46" s="3">
        <v>5528.7</v>
      </c>
      <c r="CW46" s="3">
        <v>5441.6</v>
      </c>
      <c r="CX46" s="3">
        <v>5369.6</v>
      </c>
      <c r="CY46" s="3">
        <v>5235</v>
      </c>
      <c r="CZ46" s="3">
        <v>5245.3</v>
      </c>
      <c r="DA46" s="3">
        <v>5472.4</v>
      </c>
      <c r="DB46" s="3">
        <v>5462.8</v>
      </c>
      <c r="DC46" s="3">
        <v>5634.5</v>
      </c>
      <c r="DD46" s="3">
        <v>5697.2</v>
      </c>
      <c r="DE46" s="3">
        <v>5605.2</v>
      </c>
      <c r="DF46" s="3">
        <v>5542.6</v>
      </c>
      <c r="DG46" s="3">
        <v>5596.9</v>
      </c>
      <c r="DH46" s="3">
        <v>5694.5</v>
      </c>
      <c r="DI46" s="3">
        <v>5847.3</v>
      </c>
      <c r="DJ46" s="3">
        <v>6332.8</v>
      </c>
      <c r="DK46" s="3">
        <v>6247.2</v>
      </c>
      <c r="DL46" s="3">
        <v>6277.1</v>
      </c>
      <c r="DM46" s="3">
        <v>6501.3</v>
      </c>
      <c r="DN46" s="3">
        <v>6422.5</v>
      </c>
      <c r="DO46" s="3">
        <v>6723.9</v>
      </c>
      <c r="DP46" s="3">
        <v>6763</v>
      </c>
      <c r="DQ46" s="3">
        <v>7214.9</v>
      </c>
      <c r="DR46" s="3">
        <v>5922.3</v>
      </c>
      <c r="DS46" s="3">
        <v>4356.3</v>
      </c>
      <c r="DT46" s="3">
        <v>4903.3999999999996</v>
      </c>
      <c r="DU46" s="3">
        <v>4881</v>
      </c>
      <c r="DV46" s="3">
        <v>5263.4</v>
      </c>
      <c r="DW46" s="3">
        <v>5426.5</v>
      </c>
      <c r="DX46" s="3">
        <v>5514</v>
      </c>
      <c r="DY46" s="3">
        <v>5823.8</v>
      </c>
      <c r="DZ46" s="3">
        <v>5762.1</v>
      </c>
      <c r="EA46" s="3">
        <v>6125.8</v>
      </c>
      <c r="EB46" s="3">
        <v>6614.4</v>
      </c>
      <c r="EC46" s="3">
        <v>6419.4</v>
      </c>
      <c r="ED46" s="3">
        <v>7044.9</v>
      </c>
      <c r="EE46" s="3">
        <v>6984</v>
      </c>
      <c r="EF46" s="3">
        <v>7027.9</v>
      </c>
      <c r="EG46" s="3">
        <v>7132.6</v>
      </c>
      <c r="EH46" s="3">
        <v>7372.3</v>
      </c>
      <c r="EI46" s="3">
        <v>7400.3</v>
      </c>
      <c r="EJ46" s="3">
        <v>7082.2</v>
      </c>
      <c r="EK46" s="3">
        <v>7051</v>
      </c>
      <c r="EL46" s="3">
        <v>7164</v>
      </c>
      <c r="EM46" s="3">
        <v>7299.6</v>
      </c>
    </row>
    <row r="47" spans="1:143" ht="20.100000000000001" customHeight="1" x14ac:dyDescent="0.3">
      <c r="A47" s="4" t="s">
        <v>188</v>
      </c>
      <c r="B47" s="3">
        <v>2461.1</v>
      </c>
      <c r="C47" s="3">
        <v>2507.3000000000002</v>
      </c>
      <c r="D47" s="3">
        <v>2569.6</v>
      </c>
      <c r="E47" s="3">
        <v>2648</v>
      </c>
      <c r="F47" s="3">
        <v>2719</v>
      </c>
      <c r="G47" s="3">
        <v>2744.1</v>
      </c>
      <c r="H47" s="3">
        <v>2845.8</v>
      </c>
      <c r="I47" s="3">
        <v>2916.5</v>
      </c>
      <c r="J47" s="3">
        <v>2931.4</v>
      </c>
      <c r="K47" s="3">
        <v>2963.7</v>
      </c>
      <c r="L47" s="3">
        <v>3074.7</v>
      </c>
      <c r="M47" s="3">
        <v>3111</v>
      </c>
      <c r="N47" s="3">
        <v>3148.9</v>
      </c>
      <c r="O47" s="3">
        <v>3209.5</v>
      </c>
      <c r="P47" s="3">
        <v>3332.2</v>
      </c>
      <c r="Q47" s="3">
        <v>3409.6</v>
      </c>
      <c r="R47" s="3">
        <v>3575.6</v>
      </c>
      <c r="S47" s="3">
        <v>3600.9</v>
      </c>
      <c r="T47" s="3">
        <v>3668.6</v>
      </c>
      <c r="U47" s="3">
        <v>3734.6</v>
      </c>
      <c r="V47" s="3">
        <v>3886.3</v>
      </c>
      <c r="W47" s="3">
        <v>3983.5</v>
      </c>
      <c r="X47" s="3">
        <v>4051.1</v>
      </c>
      <c r="Y47" s="3">
        <v>4160.3999999999996</v>
      </c>
      <c r="Z47" s="3">
        <v>4195.5</v>
      </c>
      <c r="AA47" s="3">
        <v>4300.3999999999996</v>
      </c>
      <c r="AB47" s="3">
        <v>4382.1000000000004</v>
      </c>
      <c r="AC47" s="3">
        <v>4497.6000000000004</v>
      </c>
      <c r="AD47" s="3">
        <v>4554.3999999999996</v>
      </c>
      <c r="AE47" s="3">
        <v>4618.3999999999996</v>
      </c>
      <c r="AF47" s="3">
        <v>4684.8</v>
      </c>
      <c r="AG47" s="3">
        <v>4765.3</v>
      </c>
      <c r="AH47" s="3">
        <v>4224.7</v>
      </c>
      <c r="AI47" s="3">
        <v>4297.1000000000004</v>
      </c>
      <c r="AJ47" s="3">
        <v>4308.3999999999996</v>
      </c>
      <c r="AK47" s="3">
        <v>4401.6000000000004</v>
      </c>
      <c r="AL47" s="3">
        <v>4619.5</v>
      </c>
      <c r="AM47" s="3">
        <v>4797</v>
      </c>
      <c r="AN47" s="3">
        <v>4826.8999999999996</v>
      </c>
      <c r="AO47" s="3">
        <v>4898.6000000000004</v>
      </c>
      <c r="AP47" s="3">
        <v>5009.8</v>
      </c>
      <c r="AQ47" s="3">
        <v>5026.6000000000004</v>
      </c>
      <c r="AR47" s="3">
        <v>5158.3</v>
      </c>
      <c r="AS47" s="3">
        <v>5187.2</v>
      </c>
      <c r="AT47" s="3">
        <v>5166.8</v>
      </c>
      <c r="AU47" s="3">
        <v>5219.3999999999996</v>
      </c>
      <c r="AV47" s="3">
        <v>5338.3</v>
      </c>
      <c r="AW47" s="3">
        <v>5455.6</v>
      </c>
      <c r="AX47" s="3">
        <v>5572.5</v>
      </c>
      <c r="AY47" s="3">
        <v>5716.1</v>
      </c>
      <c r="AZ47" s="3">
        <v>5786.6</v>
      </c>
      <c r="BA47" s="3">
        <v>5901.3</v>
      </c>
      <c r="BB47" s="3">
        <v>5591.5</v>
      </c>
      <c r="BC47" s="3">
        <v>5707</v>
      </c>
      <c r="BD47" s="3">
        <v>5723</v>
      </c>
      <c r="BE47" s="3">
        <v>5848.8</v>
      </c>
      <c r="BF47" s="3">
        <v>5610.8</v>
      </c>
      <c r="BG47" s="3">
        <v>5530.6</v>
      </c>
      <c r="BH47" s="3">
        <v>5581.1</v>
      </c>
      <c r="BI47" s="3">
        <v>5660.4</v>
      </c>
      <c r="BJ47" s="3">
        <v>5767</v>
      </c>
      <c r="BK47" s="3">
        <v>5790.5</v>
      </c>
      <c r="BL47" s="3">
        <v>5774</v>
      </c>
      <c r="BM47" s="3">
        <v>5774.1</v>
      </c>
      <c r="BN47" s="3">
        <v>6059.9</v>
      </c>
      <c r="BO47" s="3">
        <v>6070.3</v>
      </c>
      <c r="BP47" s="3">
        <v>6148.8</v>
      </c>
      <c r="BQ47" s="3">
        <v>6174.5</v>
      </c>
      <c r="BR47" s="3">
        <v>6324.4</v>
      </c>
      <c r="BS47" s="3">
        <v>6346</v>
      </c>
      <c r="BT47" s="3">
        <v>6411.2</v>
      </c>
      <c r="BU47" s="3">
        <v>6472.7</v>
      </c>
      <c r="BV47" s="3">
        <v>6516.2</v>
      </c>
      <c r="BW47" s="3">
        <v>6507.8</v>
      </c>
      <c r="BX47" s="3">
        <v>6484.5</v>
      </c>
      <c r="BY47" s="3">
        <v>6464.8</v>
      </c>
      <c r="BZ47" s="3">
        <v>6452.4</v>
      </c>
      <c r="CA47" s="3">
        <v>6423.5</v>
      </c>
      <c r="CB47" s="3">
        <v>6490.5</v>
      </c>
      <c r="CC47" s="3">
        <v>6573.7</v>
      </c>
      <c r="CD47" s="3">
        <v>6648.9</v>
      </c>
      <c r="CE47" s="3">
        <v>6792.3</v>
      </c>
      <c r="CF47" s="3">
        <v>6891.2</v>
      </c>
      <c r="CG47" s="3">
        <v>6972.8</v>
      </c>
      <c r="CH47" s="3">
        <v>6993.3</v>
      </c>
      <c r="CI47" s="3">
        <v>7036.7</v>
      </c>
      <c r="CJ47" s="3">
        <v>6973.9</v>
      </c>
      <c r="CK47" s="3">
        <v>6910.9</v>
      </c>
      <c r="CL47" s="3">
        <v>7101.5</v>
      </c>
      <c r="CM47" s="3">
        <v>7127.8</v>
      </c>
      <c r="CN47" s="3">
        <v>7131.2</v>
      </c>
      <c r="CO47" s="3">
        <v>7170.9</v>
      </c>
      <c r="CP47" s="3">
        <v>7198.9</v>
      </c>
      <c r="CQ47" s="3">
        <v>7189.9</v>
      </c>
      <c r="CR47" s="3">
        <v>7319.2</v>
      </c>
      <c r="CS47" s="3">
        <v>7306.7</v>
      </c>
      <c r="CT47" s="3">
        <v>7241.7</v>
      </c>
      <c r="CU47" s="3">
        <v>7316.8</v>
      </c>
      <c r="CV47" s="3">
        <v>7388.5</v>
      </c>
      <c r="CW47" s="3">
        <v>7341.4</v>
      </c>
      <c r="CX47" s="3">
        <v>7244.3</v>
      </c>
      <c r="CY47" s="3">
        <v>7322.1</v>
      </c>
      <c r="CZ47" s="3">
        <v>7357.2</v>
      </c>
      <c r="DA47" s="3">
        <v>7351.8</v>
      </c>
      <c r="DB47" s="3">
        <v>7465</v>
      </c>
      <c r="DC47" s="3">
        <v>7628</v>
      </c>
      <c r="DD47" s="3">
        <v>7579.1</v>
      </c>
      <c r="DE47" s="3">
        <v>7580.9</v>
      </c>
      <c r="DF47" s="3">
        <v>7545.2</v>
      </c>
      <c r="DG47" s="3">
        <v>7542.6</v>
      </c>
      <c r="DH47" s="3">
        <v>7580.4</v>
      </c>
      <c r="DI47" s="3">
        <v>7239.4</v>
      </c>
      <c r="DJ47" s="3">
        <v>7420.7</v>
      </c>
      <c r="DK47" s="3">
        <v>7230.7</v>
      </c>
      <c r="DL47" s="3">
        <v>7231.4</v>
      </c>
      <c r="DM47" s="3">
        <v>7174.3</v>
      </c>
      <c r="DN47" s="3">
        <v>7322.2</v>
      </c>
      <c r="DO47" s="3">
        <v>7319</v>
      </c>
      <c r="DP47" s="3">
        <v>7291.2</v>
      </c>
      <c r="DQ47" s="3">
        <v>7192</v>
      </c>
      <c r="DR47" s="3">
        <v>6858.3</v>
      </c>
      <c r="DS47" s="3">
        <v>6756.3</v>
      </c>
      <c r="DT47" s="3">
        <v>6637.6</v>
      </c>
      <c r="DU47" s="3">
        <v>6639.6</v>
      </c>
      <c r="DV47" s="3">
        <v>6605.3</v>
      </c>
      <c r="DW47" s="3">
        <v>6606.2</v>
      </c>
      <c r="DX47" s="3">
        <v>6449.4</v>
      </c>
      <c r="DY47" s="3">
        <v>6594</v>
      </c>
      <c r="DZ47" s="3">
        <v>6573.9</v>
      </c>
      <c r="EA47" s="3">
        <v>6845.2</v>
      </c>
      <c r="EB47" s="3">
        <v>6896.4</v>
      </c>
      <c r="EC47" s="3">
        <v>7017.5</v>
      </c>
      <c r="ED47" s="3">
        <v>7135.2</v>
      </c>
      <c r="EE47" s="3">
        <v>7100.6</v>
      </c>
      <c r="EF47" s="3">
        <v>7237.5</v>
      </c>
      <c r="EG47" s="3">
        <v>7056</v>
      </c>
      <c r="EH47" s="3">
        <v>7257.2</v>
      </c>
      <c r="EI47" s="3">
        <v>7140</v>
      </c>
      <c r="EJ47" s="3">
        <v>7136.2</v>
      </c>
      <c r="EK47" s="3">
        <v>7146.6</v>
      </c>
      <c r="EL47" s="3">
        <v>7153.4</v>
      </c>
      <c r="EM47" s="3">
        <v>7102</v>
      </c>
    </row>
    <row r="48" spans="1:143" ht="20.100000000000001" customHeight="1" x14ac:dyDescent="0.3">
      <c r="A48" s="4" t="s">
        <v>189</v>
      </c>
      <c r="B48" s="3">
        <v>107607</v>
      </c>
      <c r="C48" s="3">
        <v>109978.5</v>
      </c>
      <c r="D48" s="3">
        <v>113863.4</v>
      </c>
      <c r="E48" s="3">
        <v>116095.7</v>
      </c>
      <c r="F48" s="3">
        <v>120461.1</v>
      </c>
      <c r="G48" s="3">
        <v>122537.4</v>
      </c>
      <c r="H48" s="3">
        <v>125443.2</v>
      </c>
      <c r="I48" s="3">
        <v>128659.4</v>
      </c>
      <c r="J48" s="3">
        <v>131061.6</v>
      </c>
      <c r="K48" s="3">
        <v>132039</v>
      </c>
      <c r="L48" s="3">
        <v>132391.6</v>
      </c>
      <c r="M48" s="3">
        <v>134644</v>
      </c>
      <c r="N48" s="3">
        <v>137587.79999999999</v>
      </c>
      <c r="O48" s="3">
        <v>141101.70000000001</v>
      </c>
      <c r="P48" s="3">
        <v>143676.5</v>
      </c>
      <c r="Q48" s="3">
        <v>146390.70000000001</v>
      </c>
      <c r="R48" s="3">
        <v>150588.6</v>
      </c>
      <c r="S48" s="3">
        <v>152974.20000000001</v>
      </c>
      <c r="T48" s="3">
        <v>155611.29999999999</v>
      </c>
      <c r="U48" s="3">
        <v>161652.1</v>
      </c>
      <c r="V48" s="3">
        <v>165453.20000000001</v>
      </c>
      <c r="W48" s="3">
        <v>168591.4</v>
      </c>
      <c r="X48" s="3">
        <v>171964.1</v>
      </c>
      <c r="Y48" s="3">
        <v>175174</v>
      </c>
      <c r="Z48" s="3">
        <v>178706.5</v>
      </c>
      <c r="AA48" s="3">
        <v>182013.7</v>
      </c>
      <c r="AB48" s="3">
        <v>185675.9</v>
      </c>
      <c r="AC48" s="3">
        <v>188907.4</v>
      </c>
      <c r="AD48" s="3">
        <v>189897.60000000001</v>
      </c>
      <c r="AE48" s="3">
        <v>196444.7</v>
      </c>
      <c r="AF48" s="3">
        <v>198336.4</v>
      </c>
      <c r="AG48" s="3">
        <v>197470.3</v>
      </c>
      <c r="AH48" s="3">
        <v>184857.3</v>
      </c>
      <c r="AI48" s="3">
        <v>183277</v>
      </c>
      <c r="AJ48" s="3">
        <v>186947.20000000001</v>
      </c>
      <c r="AK48" s="3">
        <v>191685.1</v>
      </c>
      <c r="AL48" s="3">
        <v>196466.4</v>
      </c>
      <c r="AM48" s="3">
        <v>205687.1</v>
      </c>
      <c r="AN48" s="3">
        <v>211409.9</v>
      </c>
      <c r="AO48" s="3">
        <v>216710.8</v>
      </c>
      <c r="AP48" s="3">
        <v>220819.8</v>
      </c>
      <c r="AQ48" s="3">
        <v>224778.3</v>
      </c>
      <c r="AR48" s="3">
        <v>229919.7</v>
      </c>
      <c r="AS48" s="3">
        <v>230193.7</v>
      </c>
      <c r="AT48" s="3">
        <v>232332.2</v>
      </c>
      <c r="AU48" s="3">
        <v>235084.6</v>
      </c>
      <c r="AV48" s="3">
        <v>238192</v>
      </c>
      <c r="AW48" s="3">
        <v>242174.3</v>
      </c>
      <c r="AX48" s="3">
        <v>249166.7</v>
      </c>
      <c r="AY48" s="3">
        <v>254230.8</v>
      </c>
      <c r="AZ48" s="3">
        <v>258853</v>
      </c>
      <c r="BA48" s="3">
        <v>261316.9</v>
      </c>
      <c r="BB48" s="3">
        <v>260076.9</v>
      </c>
      <c r="BC48" s="3">
        <v>260311.8</v>
      </c>
      <c r="BD48" s="3">
        <v>264556.7</v>
      </c>
      <c r="BE48" s="3">
        <v>271368.2</v>
      </c>
      <c r="BF48" s="3">
        <v>275018.8</v>
      </c>
      <c r="BG48" s="3">
        <v>277560.5</v>
      </c>
      <c r="BH48" s="3">
        <v>278558.90000000002</v>
      </c>
      <c r="BI48" s="3">
        <v>280743.90000000002</v>
      </c>
      <c r="BJ48" s="3">
        <v>283321.09999999998</v>
      </c>
      <c r="BK48" s="3">
        <v>288322.40000000002</v>
      </c>
      <c r="BL48" s="3">
        <v>292623.8</v>
      </c>
      <c r="BM48" s="3">
        <v>296109.59999999998</v>
      </c>
      <c r="BN48" s="3">
        <v>300558</v>
      </c>
      <c r="BO48" s="3">
        <v>303306.59999999998</v>
      </c>
      <c r="BP48" s="3">
        <v>307712.09999999998</v>
      </c>
      <c r="BQ48" s="3">
        <v>310482.7</v>
      </c>
      <c r="BR48" s="3">
        <v>316900.3</v>
      </c>
      <c r="BS48" s="3">
        <v>321884.7</v>
      </c>
      <c r="BT48" s="3">
        <v>326419.90000000002</v>
      </c>
      <c r="BU48" s="3">
        <v>332452.5</v>
      </c>
      <c r="BV48" s="3">
        <v>336235.7</v>
      </c>
      <c r="BW48" s="3">
        <v>337461.1</v>
      </c>
      <c r="BX48" s="3">
        <v>339675.3</v>
      </c>
      <c r="BY48" s="3">
        <v>327782.8</v>
      </c>
      <c r="BZ48" s="3">
        <v>327555.20000000001</v>
      </c>
      <c r="CA48" s="3">
        <v>333357.8</v>
      </c>
      <c r="CB48" s="3">
        <v>344611.9</v>
      </c>
      <c r="CC48" s="3">
        <v>347327.6</v>
      </c>
      <c r="CD48" s="3">
        <v>354510.9</v>
      </c>
      <c r="CE48" s="3">
        <v>359878.40000000002</v>
      </c>
      <c r="CF48" s="3">
        <v>363382.8</v>
      </c>
      <c r="CG48" s="3">
        <v>368898.7</v>
      </c>
      <c r="CH48" s="3">
        <v>372540.4</v>
      </c>
      <c r="CI48" s="3">
        <v>373609.5</v>
      </c>
      <c r="CJ48" s="3">
        <v>375429.5</v>
      </c>
      <c r="CK48" s="3">
        <v>377789.1</v>
      </c>
      <c r="CL48" s="3">
        <v>381560.8</v>
      </c>
      <c r="CM48" s="3">
        <v>383513.59999999998</v>
      </c>
      <c r="CN48" s="3">
        <v>385185.3</v>
      </c>
      <c r="CO48" s="3">
        <v>388057.7</v>
      </c>
      <c r="CP48" s="3">
        <v>391593.3</v>
      </c>
      <c r="CQ48" s="3">
        <v>396587.5</v>
      </c>
      <c r="CR48" s="3">
        <v>400281.7</v>
      </c>
      <c r="CS48" s="3">
        <v>403526.2</v>
      </c>
      <c r="CT48" s="3">
        <v>406555.6</v>
      </c>
      <c r="CU48" s="3">
        <v>410493.1</v>
      </c>
      <c r="CV48" s="3">
        <v>411018.8</v>
      </c>
      <c r="CW48" s="3">
        <v>413521.9</v>
      </c>
      <c r="CX48" s="3">
        <v>417056.9</v>
      </c>
      <c r="CY48" s="3">
        <v>418638.9</v>
      </c>
      <c r="CZ48" s="3">
        <v>424793</v>
      </c>
      <c r="DA48" s="3">
        <v>427900.4</v>
      </c>
      <c r="DB48" s="3">
        <v>429313.5</v>
      </c>
      <c r="DC48" s="3">
        <v>434771</v>
      </c>
      <c r="DD48" s="3">
        <v>436302.6</v>
      </c>
      <c r="DE48" s="3">
        <v>439808.4</v>
      </c>
      <c r="DF48" s="3">
        <v>445234.8</v>
      </c>
      <c r="DG48" s="3">
        <v>448266.4</v>
      </c>
      <c r="DH48" s="3">
        <v>454651.4</v>
      </c>
      <c r="DI48" s="3">
        <v>452978.3</v>
      </c>
      <c r="DJ48" s="3">
        <v>460416.8</v>
      </c>
      <c r="DK48" s="3">
        <v>464287</v>
      </c>
      <c r="DL48" s="3">
        <v>467089.7</v>
      </c>
      <c r="DM48" s="3">
        <v>469627.5</v>
      </c>
      <c r="DN48" s="3">
        <v>469870.3</v>
      </c>
      <c r="DO48" s="3">
        <v>476543.6</v>
      </c>
      <c r="DP48" s="3">
        <v>477699</v>
      </c>
      <c r="DQ48" s="3">
        <v>483044.7</v>
      </c>
      <c r="DR48" s="3">
        <v>476161.2</v>
      </c>
      <c r="DS48" s="3">
        <v>461797.1</v>
      </c>
      <c r="DT48" s="3">
        <v>472362.5</v>
      </c>
      <c r="DU48" s="3">
        <v>480455.4</v>
      </c>
      <c r="DV48" s="3">
        <v>487716.9</v>
      </c>
      <c r="DW48" s="3">
        <v>492991.7</v>
      </c>
      <c r="DX48" s="3">
        <v>494546.5</v>
      </c>
      <c r="DY48" s="3">
        <v>501937.4</v>
      </c>
      <c r="DZ48" s="3">
        <v>504968.7</v>
      </c>
      <c r="EA48" s="3">
        <v>510173.2</v>
      </c>
      <c r="EB48" s="3">
        <v>512988.7</v>
      </c>
      <c r="EC48" s="3">
        <v>512010.6</v>
      </c>
      <c r="ED48" s="3">
        <v>514292.2</v>
      </c>
      <c r="EE48" s="3">
        <v>518455.9</v>
      </c>
      <c r="EF48" s="3">
        <v>523362.5</v>
      </c>
      <c r="EG48" s="3">
        <v>525449.9</v>
      </c>
      <c r="EH48" s="3">
        <v>530711.80000000005</v>
      </c>
      <c r="EI48" s="3">
        <v>530834</v>
      </c>
      <c r="EJ48" s="3">
        <v>531819.1</v>
      </c>
      <c r="EK48" s="3">
        <v>531090.19999999995</v>
      </c>
      <c r="EL48" s="3">
        <v>530360</v>
      </c>
      <c r="EM48" s="3">
        <v>535172.80000000005</v>
      </c>
    </row>
    <row r="49" spans="1:143" ht="20.100000000000001" customHeight="1" x14ac:dyDescent="0.3">
      <c r="A49" s="4" t="s">
        <v>190</v>
      </c>
      <c r="B49" s="3">
        <v>11508</v>
      </c>
      <c r="C49" s="3">
        <v>11826.6</v>
      </c>
      <c r="D49" s="3">
        <v>12259.3</v>
      </c>
      <c r="E49" s="3">
        <v>12426.2</v>
      </c>
      <c r="F49" s="3">
        <v>12758.6</v>
      </c>
      <c r="G49" s="3">
        <v>12951.8</v>
      </c>
      <c r="H49" s="3">
        <v>13125.8</v>
      </c>
      <c r="I49" s="3">
        <v>13478.7</v>
      </c>
      <c r="J49" s="3">
        <v>13511.7</v>
      </c>
      <c r="K49" s="3">
        <v>13623.8</v>
      </c>
      <c r="L49" s="3">
        <v>13423.9</v>
      </c>
      <c r="M49" s="3">
        <v>13446.7</v>
      </c>
      <c r="N49" s="3">
        <v>13581.3</v>
      </c>
      <c r="O49" s="3">
        <v>13879.9</v>
      </c>
      <c r="P49" s="3">
        <v>14140.6</v>
      </c>
      <c r="Q49" s="3">
        <v>14541.3</v>
      </c>
      <c r="R49" s="3">
        <v>15131.7</v>
      </c>
      <c r="S49" s="3">
        <v>15513.8</v>
      </c>
      <c r="T49" s="3">
        <v>15581.6</v>
      </c>
      <c r="U49" s="3">
        <v>16493.8</v>
      </c>
      <c r="V49" s="3">
        <v>16612.2</v>
      </c>
      <c r="W49" s="3">
        <v>16946.599999999999</v>
      </c>
      <c r="X49" s="3">
        <v>17487.900000000001</v>
      </c>
      <c r="Y49" s="3">
        <v>17873</v>
      </c>
      <c r="Z49" s="3">
        <v>18217.5</v>
      </c>
      <c r="AA49" s="3">
        <v>18712.599999999999</v>
      </c>
      <c r="AB49" s="3">
        <v>18733.3</v>
      </c>
      <c r="AC49" s="3">
        <v>19094.099999999999</v>
      </c>
      <c r="AD49" s="3">
        <v>19109.900000000001</v>
      </c>
      <c r="AE49" s="3">
        <v>19901</v>
      </c>
      <c r="AF49" s="3">
        <v>20126</v>
      </c>
      <c r="AG49" s="3">
        <v>19646.8</v>
      </c>
      <c r="AH49" s="3">
        <v>17678.599999999999</v>
      </c>
      <c r="AI49" s="3">
        <v>17680</v>
      </c>
      <c r="AJ49" s="3">
        <v>17941.3</v>
      </c>
      <c r="AK49" s="3">
        <v>18309.7</v>
      </c>
      <c r="AL49" s="3">
        <v>20168.2</v>
      </c>
      <c r="AM49" s="3">
        <v>20271.8</v>
      </c>
      <c r="AN49" s="3">
        <v>21059.1</v>
      </c>
      <c r="AO49" s="3">
        <v>22020</v>
      </c>
      <c r="AP49" s="3">
        <v>22654.799999999999</v>
      </c>
      <c r="AQ49" s="3">
        <v>22446</v>
      </c>
      <c r="AR49" s="3">
        <v>24096.1</v>
      </c>
      <c r="AS49" s="3">
        <v>22975.200000000001</v>
      </c>
      <c r="AT49" s="3">
        <v>23389.7</v>
      </c>
      <c r="AU49" s="3">
        <v>24477.200000000001</v>
      </c>
      <c r="AV49" s="3">
        <v>24678.2</v>
      </c>
      <c r="AW49" s="3">
        <v>24699.200000000001</v>
      </c>
      <c r="AX49" s="3">
        <v>25158.1</v>
      </c>
      <c r="AY49" s="3">
        <v>25333</v>
      </c>
      <c r="AZ49" s="3">
        <v>25897.9</v>
      </c>
      <c r="BA49" s="3">
        <v>26124.2</v>
      </c>
      <c r="BB49" s="3">
        <v>25838.1</v>
      </c>
      <c r="BC49" s="3">
        <v>25798.5</v>
      </c>
      <c r="BD49" s="3">
        <v>26136.9</v>
      </c>
      <c r="BE49" s="3">
        <v>26744.3</v>
      </c>
      <c r="BF49" s="3">
        <v>27317</v>
      </c>
      <c r="BG49" s="3">
        <v>27316.1</v>
      </c>
      <c r="BH49" s="3">
        <v>27120.3</v>
      </c>
      <c r="BI49" s="3">
        <v>27433</v>
      </c>
      <c r="BJ49" s="3">
        <v>27729.4</v>
      </c>
      <c r="BK49" s="3">
        <v>28562.9</v>
      </c>
      <c r="BL49" s="3">
        <v>28708</v>
      </c>
      <c r="BM49" s="3">
        <v>28908</v>
      </c>
      <c r="BN49" s="3">
        <v>29626.799999999999</v>
      </c>
      <c r="BO49" s="3">
        <v>29265.4</v>
      </c>
      <c r="BP49" s="3">
        <v>30069.7</v>
      </c>
      <c r="BQ49" s="3">
        <v>30105.9</v>
      </c>
      <c r="BR49" s="3">
        <v>29731.7</v>
      </c>
      <c r="BS49" s="3">
        <v>30612.799999999999</v>
      </c>
      <c r="BT49" s="3">
        <v>30256.3</v>
      </c>
      <c r="BU49" s="3">
        <v>31244.400000000001</v>
      </c>
      <c r="BV49" s="3">
        <v>30240.3</v>
      </c>
      <c r="BW49" s="3">
        <v>30349</v>
      </c>
      <c r="BX49" s="3">
        <v>30575.1</v>
      </c>
      <c r="BY49" s="3">
        <v>29963.4</v>
      </c>
      <c r="BZ49" s="3">
        <v>31054.7</v>
      </c>
      <c r="CA49" s="3">
        <v>30186.2</v>
      </c>
      <c r="CB49" s="3">
        <v>30090.6</v>
      </c>
      <c r="CC49" s="3">
        <v>30131.5</v>
      </c>
      <c r="CD49" s="3">
        <v>31729.3</v>
      </c>
      <c r="CE49" s="3">
        <v>32590.1</v>
      </c>
      <c r="CF49" s="3">
        <v>33071.1</v>
      </c>
      <c r="CG49" s="3">
        <v>33164.400000000001</v>
      </c>
      <c r="CH49" s="3">
        <v>33369.1</v>
      </c>
      <c r="CI49" s="3">
        <v>34035.1</v>
      </c>
      <c r="CJ49" s="3">
        <v>34105.1</v>
      </c>
      <c r="CK49" s="3">
        <v>34484.199999999997</v>
      </c>
      <c r="CL49" s="3">
        <v>34664.400000000001</v>
      </c>
      <c r="CM49" s="3">
        <v>34469.4</v>
      </c>
      <c r="CN49" s="3">
        <v>34661.300000000003</v>
      </c>
      <c r="CO49" s="3">
        <v>34914.6</v>
      </c>
      <c r="CP49" s="3">
        <v>34731.199999999997</v>
      </c>
      <c r="CQ49" s="3">
        <v>34552</v>
      </c>
      <c r="CR49" s="3">
        <v>35183.5</v>
      </c>
      <c r="CS49" s="3">
        <v>35755.599999999999</v>
      </c>
      <c r="CT49" s="3">
        <v>36102.800000000003</v>
      </c>
      <c r="CU49" s="3">
        <v>36365.4</v>
      </c>
      <c r="CV49" s="3">
        <v>37007.1</v>
      </c>
      <c r="CW49" s="3">
        <v>36880</v>
      </c>
      <c r="CX49" s="3">
        <v>37240.800000000003</v>
      </c>
      <c r="CY49" s="3">
        <v>37623</v>
      </c>
      <c r="CZ49" s="3">
        <v>38240.699999999997</v>
      </c>
      <c r="DA49" s="3">
        <v>38720.6</v>
      </c>
      <c r="DB49" s="3">
        <v>39116.5</v>
      </c>
      <c r="DC49" s="3">
        <v>39526.6</v>
      </c>
      <c r="DD49" s="3">
        <v>39836.9</v>
      </c>
      <c r="DE49" s="3">
        <v>39992</v>
      </c>
      <c r="DF49" s="3">
        <v>39962.9</v>
      </c>
      <c r="DG49" s="3">
        <v>40504.800000000003</v>
      </c>
      <c r="DH49" s="3">
        <v>40831.699999999997</v>
      </c>
      <c r="DI49" s="3">
        <v>41375.599999999999</v>
      </c>
      <c r="DJ49" s="3">
        <v>41178.6</v>
      </c>
      <c r="DK49" s="3">
        <v>41211.800000000003</v>
      </c>
      <c r="DL49" s="3">
        <v>40990.699999999997</v>
      </c>
      <c r="DM49" s="3">
        <v>41295.699999999997</v>
      </c>
      <c r="DN49" s="3">
        <v>41491.699999999997</v>
      </c>
      <c r="DO49" s="3">
        <v>41556</v>
      </c>
      <c r="DP49" s="3">
        <v>41456.9</v>
      </c>
      <c r="DQ49" s="3">
        <v>41283.300000000003</v>
      </c>
      <c r="DR49" s="3">
        <v>41442.199999999997</v>
      </c>
      <c r="DS49" s="3">
        <v>41671.9</v>
      </c>
      <c r="DT49" s="3">
        <v>42256.5</v>
      </c>
      <c r="DU49" s="3">
        <v>42319.7</v>
      </c>
      <c r="DV49" s="3">
        <v>43014.1</v>
      </c>
      <c r="DW49" s="3">
        <v>45128.3</v>
      </c>
      <c r="DX49" s="3">
        <v>43561.1</v>
      </c>
      <c r="DY49" s="3">
        <v>44526.9</v>
      </c>
      <c r="DZ49" s="3">
        <v>43594.1</v>
      </c>
      <c r="EA49" s="3">
        <v>43251.3</v>
      </c>
      <c r="EB49" s="3">
        <v>43172.2</v>
      </c>
      <c r="EC49" s="3">
        <v>42116.6</v>
      </c>
      <c r="ED49" s="3">
        <v>41831.199999999997</v>
      </c>
      <c r="EE49" s="3">
        <v>41493.5</v>
      </c>
      <c r="EF49" s="3">
        <v>40987.300000000003</v>
      </c>
      <c r="EG49" s="3">
        <v>41657</v>
      </c>
      <c r="EH49" s="3">
        <v>43069.9</v>
      </c>
      <c r="EI49" s="3">
        <v>41588.800000000003</v>
      </c>
      <c r="EJ49" s="3">
        <v>41094.1</v>
      </c>
      <c r="EK49" s="3">
        <v>42310.2</v>
      </c>
      <c r="EL49" s="3">
        <v>41771.699999999997</v>
      </c>
      <c r="EM49" s="3">
        <v>40784</v>
      </c>
    </row>
    <row r="50" spans="1:143" ht="20.100000000000001" customHeight="1" x14ac:dyDescent="0.3">
      <c r="A50" s="4" t="s">
        <v>191</v>
      </c>
      <c r="B50" s="3">
        <v>119159.6</v>
      </c>
      <c r="C50" s="3">
        <v>121845.8</v>
      </c>
      <c r="D50" s="3">
        <v>126163.7</v>
      </c>
      <c r="E50" s="3">
        <v>128569.2</v>
      </c>
      <c r="F50" s="3">
        <v>133273.1</v>
      </c>
      <c r="G50" s="3">
        <v>135544.5</v>
      </c>
      <c r="H50" s="3">
        <v>138631</v>
      </c>
      <c r="I50" s="3">
        <v>142201</v>
      </c>
      <c r="J50" s="3">
        <v>144661.6</v>
      </c>
      <c r="K50" s="3">
        <v>145750.70000000001</v>
      </c>
      <c r="L50" s="3">
        <v>145926.1</v>
      </c>
      <c r="M50" s="3">
        <v>148222.70000000001</v>
      </c>
      <c r="N50" s="3">
        <v>151302</v>
      </c>
      <c r="O50" s="3">
        <v>155120.79999999999</v>
      </c>
      <c r="P50" s="3">
        <v>157958.29999999999</v>
      </c>
      <c r="Q50" s="3">
        <v>161068.4</v>
      </c>
      <c r="R50" s="3">
        <v>165850.70000000001</v>
      </c>
      <c r="S50" s="3">
        <v>168612.4</v>
      </c>
      <c r="T50" s="3">
        <v>171330.8</v>
      </c>
      <c r="U50" s="3">
        <v>178271.7</v>
      </c>
      <c r="V50" s="3">
        <v>182209.4</v>
      </c>
      <c r="W50" s="3">
        <v>185683.6</v>
      </c>
      <c r="X50" s="3">
        <v>189589.1</v>
      </c>
      <c r="Y50" s="3">
        <v>193183.4</v>
      </c>
      <c r="Z50" s="3">
        <v>197063.4</v>
      </c>
      <c r="AA50" s="3">
        <v>200858.6</v>
      </c>
      <c r="AB50" s="3">
        <v>204565.9</v>
      </c>
      <c r="AC50" s="3">
        <v>208158.9</v>
      </c>
      <c r="AD50" s="3">
        <v>209163.5</v>
      </c>
      <c r="AE50" s="3">
        <v>216503.8</v>
      </c>
      <c r="AF50" s="3">
        <v>218621.3</v>
      </c>
      <c r="AG50" s="3">
        <v>217284.7</v>
      </c>
      <c r="AH50" s="3">
        <v>202695.9</v>
      </c>
      <c r="AI50" s="3">
        <v>201114.3</v>
      </c>
      <c r="AJ50" s="3">
        <v>205049.8</v>
      </c>
      <c r="AK50" s="3">
        <v>210160.9</v>
      </c>
      <c r="AL50" s="3">
        <v>216688</v>
      </c>
      <c r="AM50" s="3">
        <v>226088.5</v>
      </c>
      <c r="AN50" s="3">
        <v>232582.6</v>
      </c>
      <c r="AO50" s="3">
        <v>238809.5</v>
      </c>
      <c r="AP50" s="3">
        <v>243573.1</v>
      </c>
      <c r="AQ50" s="3">
        <v>247325.9</v>
      </c>
      <c r="AR50" s="3">
        <v>254117.2</v>
      </c>
      <c r="AS50" s="3">
        <v>253273</v>
      </c>
      <c r="AT50" s="3">
        <v>255820.79999999999</v>
      </c>
      <c r="AU50" s="3">
        <v>259678.3</v>
      </c>
      <c r="AV50" s="3">
        <v>262985.59999999998</v>
      </c>
      <c r="AW50" s="3">
        <v>266982.90000000002</v>
      </c>
      <c r="AX50" s="3">
        <v>274419.90000000002</v>
      </c>
      <c r="AY50" s="3">
        <v>279643.7</v>
      </c>
      <c r="AZ50" s="3">
        <v>284837.5</v>
      </c>
      <c r="BA50" s="3">
        <v>287527.5</v>
      </c>
      <c r="BB50" s="3">
        <v>285982.5</v>
      </c>
      <c r="BC50" s="3">
        <v>286171.59999999998</v>
      </c>
      <c r="BD50" s="3">
        <v>290747.7</v>
      </c>
      <c r="BE50" s="3">
        <v>298161.40000000002</v>
      </c>
      <c r="BF50" s="3">
        <v>302404.3</v>
      </c>
      <c r="BG50" s="3">
        <v>304926.09999999998</v>
      </c>
      <c r="BH50" s="3">
        <v>305706.2</v>
      </c>
      <c r="BI50" s="3">
        <v>308211.90000000002</v>
      </c>
      <c r="BJ50" s="3">
        <v>311097.09999999998</v>
      </c>
      <c r="BK50" s="3">
        <v>316930.09999999998</v>
      </c>
      <c r="BL50" s="3">
        <v>321379.3</v>
      </c>
      <c r="BM50" s="3">
        <v>325066.90000000002</v>
      </c>
      <c r="BN50" s="3">
        <v>330234.40000000002</v>
      </c>
      <c r="BO50" s="3">
        <v>332617.8</v>
      </c>
      <c r="BP50" s="3">
        <v>337830.8</v>
      </c>
      <c r="BQ50" s="3">
        <v>340636.5</v>
      </c>
      <c r="BR50" s="3">
        <v>346675</v>
      </c>
      <c r="BS50" s="3">
        <v>352543.6</v>
      </c>
      <c r="BT50" s="3">
        <v>356718.2</v>
      </c>
      <c r="BU50" s="3">
        <v>363742.3</v>
      </c>
      <c r="BV50" s="3">
        <v>366484.8</v>
      </c>
      <c r="BW50" s="3">
        <v>367818.8</v>
      </c>
      <c r="BX50" s="3">
        <v>370260.1</v>
      </c>
      <c r="BY50" s="3">
        <v>357768.2</v>
      </c>
      <c r="BZ50" s="3">
        <v>358711.7</v>
      </c>
      <c r="CA50" s="3">
        <v>363561</v>
      </c>
      <c r="CB50" s="3">
        <v>374652</v>
      </c>
      <c r="CC50" s="3">
        <v>377396.3</v>
      </c>
      <c r="CD50" s="3">
        <v>386238.5</v>
      </c>
      <c r="CE50" s="3">
        <v>392479</v>
      </c>
      <c r="CF50" s="3">
        <v>396469.6</v>
      </c>
      <c r="CG50" s="3">
        <v>402066</v>
      </c>
      <c r="CH50" s="3">
        <v>405904.8</v>
      </c>
      <c r="CI50" s="3">
        <v>407666.7</v>
      </c>
      <c r="CJ50" s="3">
        <v>409552.3</v>
      </c>
      <c r="CK50" s="3">
        <v>412298.9</v>
      </c>
      <c r="CL50" s="3">
        <v>416240.7</v>
      </c>
      <c r="CM50" s="3">
        <v>417998</v>
      </c>
      <c r="CN50" s="3">
        <v>419861.6</v>
      </c>
      <c r="CO50" s="3">
        <v>422987.5</v>
      </c>
      <c r="CP50" s="3">
        <v>426342.40000000002</v>
      </c>
      <c r="CQ50" s="3">
        <v>431160.1</v>
      </c>
      <c r="CR50" s="3">
        <v>435484.7</v>
      </c>
      <c r="CS50" s="3">
        <v>439300.3</v>
      </c>
      <c r="CT50" s="3">
        <v>442669.9</v>
      </c>
      <c r="CU50" s="3">
        <v>446872.4</v>
      </c>
      <c r="CV50" s="3">
        <v>448023.5</v>
      </c>
      <c r="CW50" s="3">
        <v>450409.2</v>
      </c>
      <c r="CX50" s="3">
        <v>454302.8</v>
      </c>
      <c r="CY50" s="3">
        <v>456256.6</v>
      </c>
      <c r="CZ50" s="3">
        <v>463025.5</v>
      </c>
      <c r="DA50" s="3">
        <v>466604</v>
      </c>
      <c r="DB50" s="3">
        <v>468400.3</v>
      </c>
      <c r="DC50" s="3">
        <v>474271.5</v>
      </c>
      <c r="DD50" s="3">
        <v>476105.6</v>
      </c>
      <c r="DE50" s="3">
        <v>479773.7</v>
      </c>
      <c r="DF50" s="3">
        <v>485188.1</v>
      </c>
      <c r="DG50" s="3">
        <v>488752.2</v>
      </c>
      <c r="DH50" s="3">
        <v>495472.5</v>
      </c>
      <c r="DI50" s="3">
        <v>494319.3</v>
      </c>
      <c r="DJ50" s="3">
        <v>501586.1</v>
      </c>
      <c r="DK50" s="3">
        <v>505496.7</v>
      </c>
      <c r="DL50" s="3">
        <v>508089.3</v>
      </c>
      <c r="DM50" s="3">
        <v>510930.2</v>
      </c>
      <c r="DN50" s="3">
        <v>511364</v>
      </c>
      <c r="DO50" s="3">
        <v>518107.4</v>
      </c>
      <c r="DP50" s="3">
        <v>519165.9</v>
      </c>
      <c r="DQ50" s="3">
        <v>524345.1</v>
      </c>
      <c r="DR50" s="3">
        <v>517612</v>
      </c>
      <c r="DS50" s="3">
        <v>503461.2</v>
      </c>
      <c r="DT50" s="3">
        <v>514615</v>
      </c>
      <c r="DU50" s="3">
        <v>522778.3</v>
      </c>
      <c r="DV50" s="3">
        <v>530731.1</v>
      </c>
      <c r="DW50" s="3">
        <v>538119.9</v>
      </c>
      <c r="DX50" s="3">
        <v>538107.6</v>
      </c>
      <c r="DY50" s="3">
        <v>546464.30000000005</v>
      </c>
      <c r="DZ50" s="3">
        <v>548545.80000000005</v>
      </c>
      <c r="EA50" s="3">
        <v>553397.80000000005</v>
      </c>
      <c r="EB50" s="3">
        <v>556130.30000000005</v>
      </c>
      <c r="EC50" s="3">
        <v>554084.9</v>
      </c>
      <c r="ED50" s="3">
        <v>556056.4</v>
      </c>
      <c r="EE50" s="3">
        <v>559865.59999999998</v>
      </c>
      <c r="EF50" s="3">
        <v>564243.5</v>
      </c>
      <c r="EG50" s="3">
        <v>567012.30000000005</v>
      </c>
      <c r="EH50" s="3">
        <v>573667.30000000005</v>
      </c>
      <c r="EI50" s="3">
        <v>572357.1</v>
      </c>
      <c r="EJ50" s="3">
        <v>572866.1</v>
      </c>
      <c r="EK50" s="3">
        <v>573311.80000000005</v>
      </c>
      <c r="EL50" s="3">
        <v>572057.69999999995</v>
      </c>
      <c r="EM50" s="3">
        <v>575918.30000000005</v>
      </c>
    </row>
    <row r="51" spans="1:143" ht="20.100000000000001" customHeight="1" x14ac:dyDescent="0.3">
      <c r="A51" s="4" t="s">
        <v>192</v>
      </c>
      <c r="B51" s="3">
        <v>16043.4</v>
      </c>
      <c r="C51" s="3">
        <v>16599.400000000001</v>
      </c>
      <c r="D51" s="3">
        <v>17564.8</v>
      </c>
      <c r="E51" s="3">
        <v>15237.1</v>
      </c>
      <c r="F51" s="3">
        <v>15954.2</v>
      </c>
      <c r="G51" s="3">
        <v>17946.5</v>
      </c>
      <c r="H51" s="3">
        <v>19458.5</v>
      </c>
      <c r="I51" s="3">
        <v>20044.400000000001</v>
      </c>
      <c r="J51" s="3">
        <v>19587.3</v>
      </c>
      <c r="K51" s="3">
        <v>19563</v>
      </c>
      <c r="L51" s="3">
        <v>18897.7</v>
      </c>
      <c r="M51" s="3">
        <v>19710</v>
      </c>
      <c r="N51" s="3">
        <v>20148.900000000001</v>
      </c>
      <c r="O51" s="3">
        <v>20267.5</v>
      </c>
      <c r="P51" s="3">
        <v>21360.6</v>
      </c>
      <c r="Q51" s="3">
        <v>23719.5</v>
      </c>
      <c r="R51" s="3">
        <v>23683.200000000001</v>
      </c>
      <c r="S51" s="3">
        <v>23083.9</v>
      </c>
      <c r="T51" s="3">
        <v>22962</v>
      </c>
      <c r="U51" s="3">
        <v>25176.2</v>
      </c>
      <c r="V51" s="3">
        <v>25000</v>
      </c>
      <c r="W51" s="3">
        <v>24269.3</v>
      </c>
      <c r="X51" s="3">
        <v>24020.2</v>
      </c>
      <c r="Y51" s="3">
        <v>25501</v>
      </c>
      <c r="Z51" s="3">
        <v>24681.599999999999</v>
      </c>
      <c r="AA51" s="3">
        <v>25341.200000000001</v>
      </c>
      <c r="AB51" s="3">
        <v>23852.400000000001</v>
      </c>
      <c r="AC51" s="3">
        <v>22410.6</v>
      </c>
      <c r="AD51" s="3">
        <v>22782.1</v>
      </c>
      <c r="AE51" s="3">
        <v>22813.1</v>
      </c>
      <c r="AF51" s="3">
        <v>20747.900000000001</v>
      </c>
      <c r="AG51" s="3">
        <v>19656.7</v>
      </c>
      <c r="AH51" s="3">
        <v>16988.400000000001</v>
      </c>
      <c r="AI51" s="3">
        <v>13934.1</v>
      </c>
      <c r="AJ51" s="3">
        <v>16202.9</v>
      </c>
      <c r="AK51" s="3">
        <v>16814</v>
      </c>
      <c r="AL51" s="3">
        <v>18398.099999999999</v>
      </c>
      <c r="AM51" s="3">
        <v>17205.900000000001</v>
      </c>
      <c r="AN51" s="3">
        <v>13327.3</v>
      </c>
      <c r="AO51" s="3">
        <v>14377.8</v>
      </c>
      <c r="AP51" s="3">
        <v>12497.8</v>
      </c>
      <c r="AQ51" s="3">
        <v>10448.6</v>
      </c>
      <c r="AR51" s="3">
        <v>11005.6</v>
      </c>
      <c r="AS51" s="3">
        <v>7767.9</v>
      </c>
      <c r="AT51" s="3">
        <v>11054.6</v>
      </c>
      <c r="AU51" s="3">
        <v>8362.9</v>
      </c>
      <c r="AV51" s="3">
        <v>7818.1</v>
      </c>
      <c r="AW51" s="3">
        <v>7469.8</v>
      </c>
      <c r="AX51" s="3">
        <v>13591</v>
      </c>
      <c r="AY51" s="3">
        <v>10816.3</v>
      </c>
      <c r="AZ51" s="3">
        <v>11217.3</v>
      </c>
      <c r="BA51" s="3">
        <v>9305.7000000000007</v>
      </c>
      <c r="BB51" s="3">
        <v>9177.5</v>
      </c>
      <c r="BC51" s="3">
        <v>9872.1</v>
      </c>
      <c r="BD51" s="3">
        <v>10532.4</v>
      </c>
      <c r="BE51" s="3">
        <v>11576.8</v>
      </c>
      <c r="BF51" s="3">
        <v>7780.1</v>
      </c>
      <c r="BG51" s="3">
        <v>6605.4</v>
      </c>
      <c r="BH51" s="3">
        <v>6656.7</v>
      </c>
      <c r="BI51" s="3">
        <v>8360.6</v>
      </c>
      <c r="BJ51" s="3">
        <v>7081.6</v>
      </c>
      <c r="BK51" s="3">
        <v>4539.3</v>
      </c>
      <c r="BL51" s="3">
        <v>2515.5</v>
      </c>
      <c r="BM51" s="3">
        <v>2323.4</v>
      </c>
      <c r="BN51" s="3">
        <v>-1742.1</v>
      </c>
      <c r="BO51" s="3">
        <v>-2433.1999999999998</v>
      </c>
      <c r="BP51" s="3">
        <v>-1796.1</v>
      </c>
      <c r="BQ51" s="3">
        <v>1269.0999999999999</v>
      </c>
      <c r="BR51" s="3">
        <v>-1881.4</v>
      </c>
      <c r="BS51" s="3">
        <v>-2314.6999999999998</v>
      </c>
      <c r="BT51" s="3">
        <v>-526.20000000000005</v>
      </c>
      <c r="BU51" s="3">
        <v>-4499.7</v>
      </c>
      <c r="BV51" s="3">
        <v>-9293.2000000000007</v>
      </c>
      <c r="BW51" s="3">
        <v>-11528.6</v>
      </c>
      <c r="BX51" s="3">
        <v>-14831.1</v>
      </c>
      <c r="BY51" s="3">
        <v>-14313</v>
      </c>
      <c r="BZ51" s="3">
        <v>-11777.8</v>
      </c>
      <c r="CA51" s="3">
        <v>-954.9</v>
      </c>
      <c r="CB51" s="3">
        <v>-5263.5</v>
      </c>
      <c r="CC51" s="3">
        <v>-4978</v>
      </c>
      <c r="CD51" s="3">
        <v>-5276.9</v>
      </c>
      <c r="CE51" s="3">
        <v>-4426.7</v>
      </c>
      <c r="CF51" s="3">
        <v>-4287.6000000000004</v>
      </c>
      <c r="CG51" s="3">
        <v>-7759.9</v>
      </c>
      <c r="CH51" s="3">
        <v>-16080.5</v>
      </c>
      <c r="CI51" s="3">
        <v>-14822.9</v>
      </c>
      <c r="CJ51" s="3">
        <v>-13958.7</v>
      </c>
      <c r="CK51" s="3">
        <v>-15804.6</v>
      </c>
      <c r="CL51" s="3">
        <v>-17168.5</v>
      </c>
      <c r="CM51" s="3">
        <v>-17738.7</v>
      </c>
      <c r="CN51" s="3">
        <v>-12328.1</v>
      </c>
      <c r="CO51" s="3">
        <v>-13619.1</v>
      </c>
      <c r="CP51" s="3">
        <v>-14533.8</v>
      </c>
      <c r="CQ51" s="3">
        <v>-10783</v>
      </c>
      <c r="CR51" s="3">
        <v>-9801.5</v>
      </c>
      <c r="CS51" s="3">
        <v>-11069.3</v>
      </c>
      <c r="CT51" s="3">
        <v>-11649.4</v>
      </c>
      <c r="CU51" s="3">
        <v>-9948</v>
      </c>
      <c r="CV51" s="3">
        <v>-11550</v>
      </c>
      <c r="CW51" s="3">
        <v>-7672.3</v>
      </c>
      <c r="CX51" s="3">
        <v>4327.5</v>
      </c>
      <c r="CY51" s="3">
        <v>6868.7</v>
      </c>
      <c r="CZ51" s="3">
        <v>6180</v>
      </c>
      <c r="DA51" s="3">
        <v>6948.7</v>
      </c>
      <c r="DB51" s="3">
        <v>15640</v>
      </c>
      <c r="DC51" s="3">
        <v>13655.9</v>
      </c>
      <c r="DD51" s="3">
        <v>10755.6</v>
      </c>
      <c r="DE51" s="3">
        <v>11138</v>
      </c>
      <c r="DF51" s="3">
        <v>13029</v>
      </c>
      <c r="DG51" s="3">
        <v>11880.9</v>
      </c>
      <c r="DH51" s="3">
        <v>14194.7</v>
      </c>
      <c r="DI51" s="3">
        <v>9166.1</v>
      </c>
      <c r="DJ51" s="3">
        <v>13176.5</v>
      </c>
      <c r="DK51" s="3">
        <v>7671.7</v>
      </c>
      <c r="DL51" s="3">
        <v>4478</v>
      </c>
      <c r="DM51" s="3">
        <v>-49.6</v>
      </c>
      <c r="DN51" s="3">
        <v>4888.3999999999996</v>
      </c>
      <c r="DO51" s="3">
        <v>-4868.3</v>
      </c>
      <c r="DP51" s="3">
        <v>-7783.8</v>
      </c>
      <c r="DQ51" s="3">
        <v>-9382.1</v>
      </c>
      <c r="DR51" s="3">
        <v>-2685.8</v>
      </c>
      <c r="DS51" s="3">
        <v>1062.5</v>
      </c>
      <c r="DT51" s="3">
        <v>1255.5</v>
      </c>
      <c r="DU51" s="3">
        <v>367.8</v>
      </c>
      <c r="DV51" s="3">
        <v>3131.7</v>
      </c>
      <c r="DW51" s="3">
        <v>-4786.7</v>
      </c>
      <c r="DX51" s="3">
        <v>-6182</v>
      </c>
      <c r="DY51" s="3">
        <v>-13783.1</v>
      </c>
      <c r="DZ51" s="3">
        <v>-12841.5</v>
      </c>
      <c r="EA51" s="3">
        <v>-22655.3</v>
      </c>
      <c r="EB51" s="3">
        <v>-30988.400000000001</v>
      </c>
      <c r="EC51" s="3">
        <v>-28138.2</v>
      </c>
      <c r="ED51" s="3">
        <v>-26571.3</v>
      </c>
      <c r="EE51" s="3">
        <v>-27917.8</v>
      </c>
      <c r="EF51" s="3">
        <v>-20035.8</v>
      </c>
      <c r="EG51" s="3">
        <v>-17135</v>
      </c>
      <c r="EH51" s="3">
        <v>-13222.9</v>
      </c>
      <c r="EI51" s="3">
        <v>-14250</v>
      </c>
      <c r="EJ51" s="3">
        <v>-13567.6</v>
      </c>
      <c r="EK51" s="3">
        <v>-10839.1</v>
      </c>
      <c r="EL51" s="3">
        <v>-13027.6</v>
      </c>
      <c r="EM51" s="3">
        <v>-8594</v>
      </c>
    </row>
    <row r="52" spans="1:143" ht="20.100000000000001" customHeight="1" x14ac:dyDescent="0.3">
      <c r="A52" s="4" t="s">
        <v>193</v>
      </c>
      <c r="B52" s="3">
        <v>135203</v>
      </c>
      <c r="C52" s="3">
        <v>138445.20000000001</v>
      </c>
      <c r="D52" s="3">
        <v>143728.5</v>
      </c>
      <c r="E52" s="3">
        <v>143806.29999999999</v>
      </c>
      <c r="F52" s="3">
        <v>149227.20000000001</v>
      </c>
      <c r="G52" s="3">
        <v>153491.1</v>
      </c>
      <c r="H52" s="3">
        <v>158089.5</v>
      </c>
      <c r="I52" s="3">
        <v>162245.5</v>
      </c>
      <c r="J52" s="3">
        <v>164248.79999999999</v>
      </c>
      <c r="K52" s="3">
        <v>165313.70000000001</v>
      </c>
      <c r="L52" s="3">
        <v>164823.79999999999</v>
      </c>
      <c r="M52" s="3">
        <v>167932.7</v>
      </c>
      <c r="N52" s="3">
        <v>171451</v>
      </c>
      <c r="O52" s="3">
        <v>175388.3</v>
      </c>
      <c r="P52" s="3">
        <v>179318.9</v>
      </c>
      <c r="Q52" s="3">
        <v>184788</v>
      </c>
      <c r="R52" s="3">
        <v>189534</v>
      </c>
      <c r="S52" s="3">
        <v>191696.3</v>
      </c>
      <c r="T52" s="3">
        <v>194292.8</v>
      </c>
      <c r="U52" s="3">
        <v>203447.8</v>
      </c>
      <c r="V52" s="3">
        <v>207209.4</v>
      </c>
      <c r="W52" s="3">
        <v>209952.9</v>
      </c>
      <c r="X52" s="3">
        <v>213609.4</v>
      </c>
      <c r="Y52" s="3">
        <v>218684.4</v>
      </c>
      <c r="Z52" s="3">
        <v>221745.1</v>
      </c>
      <c r="AA52" s="3">
        <v>226199.8</v>
      </c>
      <c r="AB52" s="3">
        <v>228418.4</v>
      </c>
      <c r="AC52" s="3">
        <v>230569.5</v>
      </c>
      <c r="AD52" s="3">
        <v>231945.60000000001</v>
      </c>
      <c r="AE52" s="3">
        <v>239316.9</v>
      </c>
      <c r="AF52" s="3">
        <v>239369.2</v>
      </c>
      <c r="AG52" s="3">
        <v>236941.4</v>
      </c>
      <c r="AH52" s="3">
        <v>219684.3</v>
      </c>
      <c r="AI52" s="3">
        <v>215048.4</v>
      </c>
      <c r="AJ52" s="3">
        <v>221252.6</v>
      </c>
      <c r="AK52" s="3">
        <v>226974.9</v>
      </c>
      <c r="AL52" s="3">
        <v>235086.1</v>
      </c>
      <c r="AM52" s="3">
        <v>243294.4</v>
      </c>
      <c r="AN52" s="3">
        <v>245909.9</v>
      </c>
      <c r="AO52" s="3">
        <v>253187.3</v>
      </c>
      <c r="AP52" s="3">
        <v>256070.9</v>
      </c>
      <c r="AQ52" s="3">
        <v>257774.5</v>
      </c>
      <c r="AR52" s="3">
        <v>265122.8</v>
      </c>
      <c r="AS52" s="3">
        <v>261040.9</v>
      </c>
      <c r="AT52" s="3">
        <v>266875.40000000002</v>
      </c>
      <c r="AU52" s="3">
        <v>268041.2</v>
      </c>
      <c r="AV52" s="3">
        <v>270803.7</v>
      </c>
      <c r="AW52" s="3">
        <v>274452.8</v>
      </c>
      <c r="AX52" s="3">
        <v>288010.90000000002</v>
      </c>
      <c r="AY52" s="3">
        <v>290460</v>
      </c>
      <c r="AZ52" s="3">
        <v>296054.8</v>
      </c>
      <c r="BA52" s="3">
        <v>296833.2</v>
      </c>
      <c r="BB52" s="3">
        <v>295159.90000000002</v>
      </c>
      <c r="BC52" s="3">
        <v>296043.7</v>
      </c>
      <c r="BD52" s="3">
        <v>301280.09999999998</v>
      </c>
      <c r="BE52" s="3">
        <v>309738.3</v>
      </c>
      <c r="BF52" s="3">
        <v>310184.40000000002</v>
      </c>
      <c r="BG52" s="3">
        <v>311531.59999999998</v>
      </c>
      <c r="BH52" s="3">
        <v>312363</v>
      </c>
      <c r="BI52" s="3">
        <v>316572.5</v>
      </c>
      <c r="BJ52" s="3">
        <v>318178.7</v>
      </c>
      <c r="BK52" s="3">
        <v>321469.40000000002</v>
      </c>
      <c r="BL52" s="3">
        <v>323894.8</v>
      </c>
      <c r="BM52" s="3">
        <v>327390.3</v>
      </c>
      <c r="BN52" s="3">
        <v>328492.2</v>
      </c>
      <c r="BO52" s="3">
        <v>330184.7</v>
      </c>
      <c r="BP52" s="3">
        <v>336034.7</v>
      </c>
      <c r="BQ52" s="3">
        <v>341905.7</v>
      </c>
      <c r="BR52" s="3">
        <v>344793.5</v>
      </c>
      <c r="BS52" s="3">
        <v>350228.9</v>
      </c>
      <c r="BT52" s="3">
        <v>356192</v>
      </c>
      <c r="BU52" s="3">
        <v>359242.5</v>
      </c>
      <c r="BV52" s="3">
        <v>357191.6</v>
      </c>
      <c r="BW52" s="3">
        <v>356290.2</v>
      </c>
      <c r="BX52" s="3">
        <v>355428.9</v>
      </c>
      <c r="BY52" s="3">
        <v>343455.2</v>
      </c>
      <c r="BZ52" s="3">
        <v>346934</v>
      </c>
      <c r="CA52" s="3">
        <v>362606.1</v>
      </c>
      <c r="CB52" s="3">
        <v>369388.5</v>
      </c>
      <c r="CC52" s="3">
        <v>372418.3</v>
      </c>
      <c r="CD52" s="3">
        <v>380961.6</v>
      </c>
      <c r="CE52" s="3">
        <v>388052.2</v>
      </c>
      <c r="CF52" s="3">
        <v>392182</v>
      </c>
      <c r="CG52" s="3">
        <v>394306.1</v>
      </c>
      <c r="CH52" s="3">
        <v>389824.3</v>
      </c>
      <c r="CI52" s="3">
        <v>392843.8</v>
      </c>
      <c r="CJ52" s="3">
        <v>395593.7</v>
      </c>
      <c r="CK52" s="3">
        <v>396494.3</v>
      </c>
      <c r="CL52" s="3">
        <v>399072.3</v>
      </c>
      <c r="CM52" s="3">
        <v>400259.3</v>
      </c>
      <c r="CN52" s="3">
        <v>407533.4</v>
      </c>
      <c r="CO52" s="3">
        <v>409368.4</v>
      </c>
      <c r="CP52" s="3">
        <v>411808.6</v>
      </c>
      <c r="CQ52" s="3">
        <v>420377</v>
      </c>
      <c r="CR52" s="3">
        <v>425683.20000000001</v>
      </c>
      <c r="CS52" s="3">
        <v>428231</v>
      </c>
      <c r="CT52" s="3">
        <v>431020.4</v>
      </c>
      <c r="CU52" s="3">
        <v>436924.3</v>
      </c>
      <c r="CV52" s="3">
        <v>436473.5</v>
      </c>
      <c r="CW52" s="3">
        <v>442736.9</v>
      </c>
      <c r="CX52" s="3">
        <v>458630.3</v>
      </c>
      <c r="CY52" s="3">
        <v>463125.3</v>
      </c>
      <c r="CZ52" s="3">
        <v>469205.6</v>
      </c>
      <c r="DA52" s="3">
        <v>473552.7</v>
      </c>
      <c r="DB52" s="3">
        <v>484040.4</v>
      </c>
      <c r="DC52" s="3">
        <v>487927.4</v>
      </c>
      <c r="DD52" s="3">
        <v>486861.2</v>
      </c>
      <c r="DE52" s="3">
        <v>490911.7</v>
      </c>
      <c r="DF52" s="3">
        <v>498217</v>
      </c>
      <c r="DG52" s="3">
        <v>500633.1</v>
      </c>
      <c r="DH52" s="3">
        <v>509667.2</v>
      </c>
      <c r="DI52" s="3">
        <v>503485.4</v>
      </c>
      <c r="DJ52" s="3">
        <v>514762.6</v>
      </c>
      <c r="DK52" s="3">
        <v>513168.5</v>
      </c>
      <c r="DL52" s="3">
        <v>512567.3</v>
      </c>
      <c r="DM52" s="3">
        <v>510880.6</v>
      </c>
      <c r="DN52" s="3">
        <v>516252.4</v>
      </c>
      <c r="DO52" s="3">
        <v>513239.1</v>
      </c>
      <c r="DP52" s="3">
        <v>511382.1</v>
      </c>
      <c r="DQ52" s="3">
        <v>514963</v>
      </c>
      <c r="DR52" s="3">
        <v>514926.2</v>
      </c>
      <c r="DS52" s="3">
        <v>504523.7</v>
      </c>
      <c r="DT52" s="3">
        <v>515870.5</v>
      </c>
      <c r="DU52" s="3">
        <v>523146.2</v>
      </c>
      <c r="DV52" s="3">
        <v>533862.80000000005</v>
      </c>
      <c r="DW52" s="3">
        <v>533333.19999999995</v>
      </c>
      <c r="DX52" s="3">
        <v>531925.69999999995</v>
      </c>
      <c r="DY52" s="3">
        <v>532681.19999999995</v>
      </c>
      <c r="DZ52" s="3">
        <v>535704.30000000005</v>
      </c>
      <c r="EA52" s="3">
        <v>530742.5</v>
      </c>
      <c r="EB52" s="3">
        <v>525142</v>
      </c>
      <c r="EC52" s="3">
        <v>525946.69999999995</v>
      </c>
      <c r="ED52" s="3">
        <v>529485.1</v>
      </c>
      <c r="EE52" s="3">
        <v>531947.80000000005</v>
      </c>
      <c r="EF52" s="3">
        <v>544207.6</v>
      </c>
      <c r="EG52" s="3">
        <v>549877.30000000005</v>
      </c>
      <c r="EH52" s="3">
        <v>560444.4</v>
      </c>
      <c r="EI52" s="3">
        <v>558107.19999999995</v>
      </c>
      <c r="EJ52" s="3">
        <v>559298.5</v>
      </c>
      <c r="EK52" s="3">
        <v>562472.69999999995</v>
      </c>
      <c r="EL52" s="3">
        <v>559030.1</v>
      </c>
      <c r="EM52" s="3">
        <v>567324.30000000005</v>
      </c>
    </row>
    <row r="53" spans="1:143" ht="20.100000000000001" customHeight="1" x14ac:dyDescent="0.3">
      <c r="A53" s="4" t="s">
        <v>194</v>
      </c>
      <c r="B53" s="3">
        <v>-118.1</v>
      </c>
      <c r="C53" s="3">
        <v>-253.1</v>
      </c>
      <c r="D53" s="3">
        <v>-182.9</v>
      </c>
      <c r="E53" s="3">
        <v>1.1000000000000001</v>
      </c>
      <c r="F53" s="3">
        <v>-142.6</v>
      </c>
      <c r="G53" s="3">
        <v>-55.2</v>
      </c>
      <c r="H53" s="3">
        <v>-49.8</v>
      </c>
      <c r="I53" s="3">
        <v>-360</v>
      </c>
      <c r="J53" s="3">
        <v>-95.3</v>
      </c>
      <c r="K53" s="3">
        <v>-292.89999999999998</v>
      </c>
      <c r="L53" s="3">
        <v>-293.2</v>
      </c>
      <c r="M53" s="3">
        <v>-161.80000000000001</v>
      </c>
      <c r="N53" s="3">
        <v>-191</v>
      </c>
      <c r="O53" s="3">
        <v>-206.9</v>
      </c>
      <c r="P53" s="3">
        <v>-210.9</v>
      </c>
      <c r="Q53" s="3">
        <v>-309.8</v>
      </c>
      <c r="R53" s="3">
        <v>-719.6</v>
      </c>
      <c r="S53" s="3">
        <v>-190.7</v>
      </c>
      <c r="T53" s="3">
        <v>-552.20000000000005</v>
      </c>
      <c r="U53" s="3">
        <v>-459.3</v>
      </c>
      <c r="V53" s="3">
        <v>-633.4</v>
      </c>
      <c r="W53" s="3">
        <v>-852.8</v>
      </c>
      <c r="X53" s="3">
        <v>-833.4</v>
      </c>
      <c r="Y53" s="3">
        <v>-715.8</v>
      </c>
      <c r="Z53" s="3">
        <v>-812.2</v>
      </c>
      <c r="AA53" s="3">
        <v>-824.2</v>
      </c>
      <c r="AB53" s="3">
        <v>-483.1</v>
      </c>
      <c r="AC53" s="3">
        <v>-1007.4</v>
      </c>
      <c r="AD53" s="3">
        <v>-1201.5999999999999</v>
      </c>
      <c r="AE53" s="3">
        <v>-1134.7</v>
      </c>
      <c r="AF53" s="3">
        <v>-1299.3</v>
      </c>
      <c r="AG53" s="3">
        <v>-1267.0999999999999</v>
      </c>
      <c r="AH53" s="3">
        <v>-2216.4</v>
      </c>
      <c r="AI53" s="3">
        <v>-1984.9</v>
      </c>
      <c r="AJ53" s="3">
        <v>-2956.1</v>
      </c>
      <c r="AK53" s="3">
        <v>-3797.2</v>
      </c>
      <c r="AL53" s="3">
        <v>-3000.1</v>
      </c>
      <c r="AM53" s="3">
        <v>-2689.6</v>
      </c>
      <c r="AN53" s="3">
        <v>-2444.8000000000002</v>
      </c>
      <c r="AO53" s="3">
        <v>-2594.1</v>
      </c>
      <c r="AP53" s="3">
        <v>-1895</v>
      </c>
      <c r="AQ53" s="3">
        <v>-1569.3</v>
      </c>
      <c r="AR53" s="3">
        <v>-2148.5</v>
      </c>
      <c r="AS53" s="3">
        <v>-1337.9</v>
      </c>
      <c r="AT53" s="3">
        <v>-2209.5</v>
      </c>
      <c r="AU53" s="3">
        <v>-1294.0999999999999</v>
      </c>
      <c r="AV53" s="3">
        <v>-1892.3</v>
      </c>
      <c r="AW53" s="3">
        <v>-1825.1</v>
      </c>
      <c r="AX53" s="3">
        <v>-1441.1</v>
      </c>
      <c r="AY53" s="3">
        <v>-1645.9</v>
      </c>
      <c r="AZ53" s="3">
        <v>-321.3</v>
      </c>
      <c r="BA53" s="3">
        <v>-858.2</v>
      </c>
      <c r="BB53" s="3">
        <v>-1088.5999999999999</v>
      </c>
      <c r="BC53" s="3">
        <v>-1703.9</v>
      </c>
      <c r="BD53" s="3">
        <v>-818.9</v>
      </c>
      <c r="BE53" s="3">
        <v>-482.9</v>
      </c>
      <c r="BF53" s="3">
        <v>-582.79999999999995</v>
      </c>
      <c r="BG53" s="3">
        <v>-1350.8</v>
      </c>
      <c r="BH53" s="3">
        <v>-769.5</v>
      </c>
      <c r="BI53" s="3">
        <v>543.9</v>
      </c>
      <c r="BJ53" s="3">
        <v>-771.5</v>
      </c>
      <c r="BK53" s="3">
        <v>-2038</v>
      </c>
      <c r="BL53" s="3">
        <v>-3545.4</v>
      </c>
      <c r="BM53" s="3">
        <v>-2692.7</v>
      </c>
      <c r="BN53" s="3">
        <v>-1988.6</v>
      </c>
      <c r="BO53" s="3">
        <v>-1121</v>
      </c>
      <c r="BP53" s="3">
        <v>-392.7</v>
      </c>
      <c r="BQ53" s="3">
        <v>-414</v>
      </c>
      <c r="BR53" s="3">
        <v>-2056.1999999999998</v>
      </c>
      <c r="BS53" s="3">
        <v>-1044.5999999999999</v>
      </c>
      <c r="BT53" s="3">
        <v>613.20000000000005</v>
      </c>
      <c r="BU53" s="3">
        <v>-1135.7</v>
      </c>
      <c r="BV53" s="3">
        <v>861.4</v>
      </c>
      <c r="BW53" s="3">
        <v>-641.6</v>
      </c>
      <c r="BX53" s="3">
        <v>-1851.9</v>
      </c>
      <c r="BY53" s="3">
        <v>1827.8</v>
      </c>
      <c r="BZ53" s="3">
        <v>-1066.5</v>
      </c>
      <c r="CA53" s="3">
        <v>114</v>
      </c>
      <c r="CB53" s="3">
        <v>-388.4</v>
      </c>
      <c r="CC53" s="3">
        <v>-760.9</v>
      </c>
      <c r="CD53" s="3">
        <v>1723.6</v>
      </c>
      <c r="CE53" s="3">
        <v>1362.4</v>
      </c>
      <c r="CF53" s="3">
        <v>1625.7</v>
      </c>
      <c r="CG53" s="3">
        <v>-2476.3000000000002</v>
      </c>
      <c r="CH53" s="3">
        <v>524.29999999999995</v>
      </c>
      <c r="CI53" s="3">
        <v>2121.9</v>
      </c>
      <c r="CJ53" s="3">
        <v>3786.6</v>
      </c>
      <c r="CK53" s="3">
        <v>3144.2</v>
      </c>
      <c r="CL53" s="3">
        <v>3704.5</v>
      </c>
      <c r="CM53" s="3">
        <v>5461.8</v>
      </c>
      <c r="CN53" s="3">
        <v>3802.9</v>
      </c>
      <c r="CO53" s="3">
        <v>3665</v>
      </c>
      <c r="CP53" s="3">
        <v>2595.3000000000002</v>
      </c>
      <c r="CQ53" s="3">
        <v>3100</v>
      </c>
      <c r="CR53" s="3">
        <v>1993.2</v>
      </c>
      <c r="CS53" s="3">
        <v>2841.6</v>
      </c>
      <c r="CT53" s="3">
        <v>-281</v>
      </c>
      <c r="CU53" s="3">
        <v>3081.7</v>
      </c>
      <c r="CV53" s="3">
        <v>1925.2</v>
      </c>
      <c r="CW53" s="3">
        <v>3567.4</v>
      </c>
      <c r="CX53" s="3">
        <v>4867.3</v>
      </c>
      <c r="CY53" s="3">
        <v>-127.4</v>
      </c>
      <c r="CZ53" s="3">
        <v>1152.0999999999999</v>
      </c>
      <c r="DA53" s="3">
        <v>-235.3</v>
      </c>
      <c r="DB53" s="3">
        <v>1426.4</v>
      </c>
      <c r="DC53" s="3">
        <v>3009.3</v>
      </c>
      <c r="DD53" s="3">
        <v>1612.2</v>
      </c>
      <c r="DE53" s="3">
        <v>667.4</v>
      </c>
      <c r="DF53" s="3">
        <v>1502.2</v>
      </c>
      <c r="DG53" s="3">
        <v>610.6</v>
      </c>
      <c r="DH53" s="3">
        <v>2976.7</v>
      </c>
      <c r="DI53" s="3">
        <v>2583.5</v>
      </c>
      <c r="DJ53" s="3">
        <v>2095.3000000000002</v>
      </c>
      <c r="DK53" s="3">
        <v>1590.4</v>
      </c>
      <c r="DL53" s="3">
        <v>1821</v>
      </c>
      <c r="DM53" s="3">
        <v>2177.1</v>
      </c>
      <c r="DN53" s="3">
        <v>929.5</v>
      </c>
      <c r="DO53" s="3">
        <v>3688.2</v>
      </c>
      <c r="DP53" s="3">
        <v>6999.1</v>
      </c>
      <c r="DQ53" s="3">
        <v>4869.3</v>
      </c>
      <c r="DR53" s="3">
        <v>4757.8</v>
      </c>
      <c r="DS53" s="3">
        <v>3602.3</v>
      </c>
      <c r="DT53" s="3">
        <v>2803.2</v>
      </c>
      <c r="DU53" s="3">
        <v>5780.5</v>
      </c>
      <c r="DV53" s="3">
        <v>4366.8999999999996</v>
      </c>
      <c r="DW53" s="3">
        <v>11116</v>
      </c>
      <c r="DX53" s="3">
        <v>2305.1</v>
      </c>
      <c r="DY53" s="3">
        <v>4765.7</v>
      </c>
      <c r="DZ53" s="3">
        <v>4967.7</v>
      </c>
      <c r="EA53" s="3">
        <v>6921.4</v>
      </c>
      <c r="EB53" s="3">
        <v>6643.9</v>
      </c>
      <c r="EC53" s="3">
        <v>7051.2</v>
      </c>
      <c r="ED53" s="3">
        <v>8376.5</v>
      </c>
      <c r="EE53" s="3">
        <v>6831.5</v>
      </c>
      <c r="EF53" s="3">
        <v>7108.3</v>
      </c>
      <c r="EG53" s="3">
        <v>8767.1</v>
      </c>
      <c r="EH53" s="3">
        <v>7889.1</v>
      </c>
      <c r="EI53" s="3">
        <v>7356.8</v>
      </c>
      <c r="EJ53" s="3">
        <v>8126</v>
      </c>
      <c r="EK53" s="3">
        <v>8929.6</v>
      </c>
      <c r="EL53" s="3">
        <v>12953.6</v>
      </c>
      <c r="EM53" s="3">
        <v>10212.1</v>
      </c>
    </row>
    <row r="54" spans="1:143" ht="20.100000000000001" customHeight="1" x14ac:dyDescent="0.3">
      <c r="A54" s="5" t="s">
        <v>195</v>
      </c>
      <c r="B54" s="3">
        <v>135144.6</v>
      </c>
      <c r="C54" s="3">
        <v>138257.70000000001</v>
      </c>
      <c r="D54" s="3">
        <v>143611</v>
      </c>
      <c r="E54" s="3">
        <v>143866.9</v>
      </c>
      <c r="F54" s="3">
        <v>149151.20000000001</v>
      </c>
      <c r="G54" s="3">
        <v>153501.79999999999</v>
      </c>
      <c r="H54" s="3">
        <v>158107.5</v>
      </c>
      <c r="I54" s="3">
        <v>161964.20000000001</v>
      </c>
      <c r="J54" s="3">
        <v>164227.1</v>
      </c>
      <c r="K54" s="3">
        <v>165096.5</v>
      </c>
      <c r="L54" s="3">
        <v>164606.1</v>
      </c>
      <c r="M54" s="3">
        <v>167846.39999999999</v>
      </c>
      <c r="N54" s="3">
        <v>171337.7</v>
      </c>
      <c r="O54" s="3">
        <v>175261</v>
      </c>
      <c r="P54" s="3">
        <v>179189.3</v>
      </c>
      <c r="Q54" s="3">
        <v>184563.3</v>
      </c>
      <c r="R54" s="3">
        <v>188906.6</v>
      </c>
      <c r="S54" s="3">
        <v>191592.7</v>
      </c>
      <c r="T54" s="3">
        <v>193833.1</v>
      </c>
      <c r="U54" s="3">
        <v>203083.9</v>
      </c>
      <c r="V54" s="3">
        <v>206675.3</v>
      </c>
      <c r="W54" s="3">
        <v>209203.5</v>
      </c>
      <c r="X54" s="3">
        <v>212880.9</v>
      </c>
      <c r="Y54" s="3">
        <v>218073.8</v>
      </c>
      <c r="Z54" s="3">
        <v>221041</v>
      </c>
      <c r="AA54" s="3">
        <v>225486</v>
      </c>
      <c r="AB54" s="3">
        <v>228041.2</v>
      </c>
      <c r="AC54" s="3">
        <v>229676.1</v>
      </c>
      <c r="AD54" s="3">
        <v>230864</v>
      </c>
      <c r="AE54" s="3">
        <v>238304.1</v>
      </c>
      <c r="AF54" s="3">
        <v>238194.7</v>
      </c>
      <c r="AG54" s="3">
        <v>235796.9</v>
      </c>
      <c r="AH54" s="3">
        <v>217579.8</v>
      </c>
      <c r="AI54" s="3">
        <v>213173.3</v>
      </c>
      <c r="AJ54" s="3">
        <v>218412.4</v>
      </c>
      <c r="AK54" s="3">
        <v>223298.4</v>
      </c>
      <c r="AL54" s="3">
        <v>232205.5</v>
      </c>
      <c r="AM54" s="3">
        <v>240734.5</v>
      </c>
      <c r="AN54" s="3">
        <v>243599.6</v>
      </c>
      <c r="AO54" s="3">
        <v>250729.2</v>
      </c>
      <c r="AP54" s="3">
        <v>254281.1</v>
      </c>
      <c r="AQ54" s="3">
        <v>256297.5</v>
      </c>
      <c r="AR54" s="3">
        <v>263088.40000000002</v>
      </c>
      <c r="AS54" s="3">
        <v>259787.8</v>
      </c>
      <c r="AT54" s="3">
        <v>264781.3</v>
      </c>
      <c r="AU54" s="3">
        <v>266834.5</v>
      </c>
      <c r="AV54" s="3">
        <v>269017.59999999998</v>
      </c>
      <c r="AW54" s="3">
        <v>272731.8</v>
      </c>
      <c r="AX54" s="3">
        <v>286667.8</v>
      </c>
      <c r="AY54" s="3">
        <v>288918.3</v>
      </c>
      <c r="AZ54" s="3">
        <v>295800.3</v>
      </c>
      <c r="BA54" s="3">
        <v>296056.59999999998</v>
      </c>
      <c r="BB54" s="3">
        <v>294159.3</v>
      </c>
      <c r="BC54" s="3">
        <v>294443.7</v>
      </c>
      <c r="BD54" s="3">
        <v>300545.7</v>
      </c>
      <c r="BE54" s="3">
        <v>309332.7</v>
      </c>
      <c r="BF54" s="3">
        <v>309678</v>
      </c>
      <c r="BG54" s="3">
        <v>310278.09999999998</v>
      </c>
      <c r="BH54" s="3">
        <v>311673.7</v>
      </c>
      <c r="BI54" s="3">
        <v>317166.8</v>
      </c>
      <c r="BJ54" s="3">
        <v>317492.2</v>
      </c>
      <c r="BK54" s="3">
        <v>319559.8</v>
      </c>
      <c r="BL54" s="3">
        <v>320529.09999999998</v>
      </c>
      <c r="BM54" s="3">
        <v>324849.09999999998</v>
      </c>
      <c r="BN54" s="3">
        <v>326632.09999999998</v>
      </c>
      <c r="BO54" s="3">
        <v>329164.7</v>
      </c>
      <c r="BP54" s="3">
        <v>335720.9</v>
      </c>
      <c r="BQ54" s="3">
        <v>341572.6</v>
      </c>
      <c r="BR54" s="3">
        <v>342873.59999999998</v>
      </c>
      <c r="BS54" s="3">
        <v>349288</v>
      </c>
      <c r="BT54" s="3">
        <v>356855</v>
      </c>
      <c r="BU54" s="3">
        <v>358216.1</v>
      </c>
      <c r="BV54" s="3">
        <v>358082.3</v>
      </c>
      <c r="BW54" s="3">
        <v>355739</v>
      </c>
      <c r="BX54" s="3">
        <v>353716.2</v>
      </c>
      <c r="BY54" s="3">
        <v>345272.4</v>
      </c>
      <c r="BZ54" s="3">
        <v>345971.9</v>
      </c>
      <c r="CA54" s="3">
        <v>362772.9</v>
      </c>
      <c r="CB54" s="3">
        <v>369074.2</v>
      </c>
      <c r="CC54" s="3">
        <v>371750.8</v>
      </c>
      <c r="CD54" s="3">
        <v>382709.9</v>
      </c>
      <c r="CE54" s="3">
        <v>389450.1</v>
      </c>
      <c r="CF54" s="3">
        <v>393838.3</v>
      </c>
      <c r="CG54" s="3">
        <v>391958.1</v>
      </c>
      <c r="CH54" s="3">
        <v>390403.3</v>
      </c>
      <c r="CI54" s="3">
        <v>394970</v>
      </c>
      <c r="CJ54" s="3">
        <v>399331.6</v>
      </c>
      <c r="CK54" s="3">
        <v>399610.1</v>
      </c>
      <c r="CL54" s="3">
        <v>402731</v>
      </c>
      <c r="CM54" s="3">
        <v>405611.7</v>
      </c>
      <c r="CN54" s="3">
        <v>411284.7</v>
      </c>
      <c r="CO54" s="3">
        <v>412985.8</v>
      </c>
      <c r="CP54" s="3">
        <v>414384.3</v>
      </c>
      <c r="CQ54" s="3">
        <v>423445.3</v>
      </c>
      <c r="CR54" s="3">
        <v>427676.6</v>
      </c>
      <c r="CS54" s="3">
        <v>431049.4</v>
      </c>
      <c r="CT54" s="3">
        <v>430785.6</v>
      </c>
      <c r="CU54" s="3">
        <v>439978.9</v>
      </c>
      <c r="CV54" s="3">
        <v>438397.8</v>
      </c>
      <c r="CW54" s="3">
        <v>446268</v>
      </c>
      <c r="CX54" s="3">
        <v>463443.4</v>
      </c>
      <c r="CY54" s="3">
        <v>463039.3</v>
      </c>
      <c r="CZ54" s="3">
        <v>470377.7</v>
      </c>
      <c r="DA54" s="3">
        <v>473361.8</v>
      </c>
      <c r="DB54" s="3">
        <v>485479.8</v>
      </c>
      <c r="DC54" s="3">
        <v>490938.8</v>
      </c>
      <c r="DD54" s="3">
        <v>488484.8</v>
      </c>
      <c r="DE54" s="3">
        <v>491598.2</v>
      </c>
      <c r="DF54" s="3">
        <v>499730.4</v>
      </c>
      <c r="DG54" s="3">
        <v>501258.8</v>
      </c>
      <c r="DH54" s="3">
        <v>512654.1</v>
      </c>
      <c r="DI54" s="3">
        <v>506080.2</v>
      </c>
      <c r="DJ54" s="3">
        <v>516874.7</v>
      </c>
      <c r="DK54" s="3">
        <v>514775.8</v>
      </c>
      <c r="DL54" s="3">
        <v>514403.9</v>
      </c>
      <c r="DM54" s="3">
        <v>513076.8</v>
      </c>
      <c r="DN54" s="3">
        <v>517205.9</v>
      </c>
      <c r="DO54" s="3">
        <v>516937.8</v>
      </c>
      <c r="DP54" s="3">
        <v>518379.1</v>
      </c>
      <c r="DQ54" s="3">
        <v>519834.2</v>
      </c>
      <c r="DR54" s="3">
        <v>519682.7</v>
      </c>
      <c r="DS54" s="3">
        <v>508129.5</v>
      </c>
      <c r="DT54" s="3">
        <v>518673.6</v>
      </c>
      <c r="DU54" s="3">
        <v>528924.4</v>
      </c>
      <c r="DV54" s="3">
        <v>538229.6</v>
      </c>
      <c r="DW54" s="3">
        <v>544449.19999999995</v>
      </c>
      <c r="DX54" s="3">
        <v>534230.80000000005</v>
      </c>
      <c r="DY54" s="3">
        <v>537446.9</v>
      </c>
      <c r="DZ54" s="3">
        <v>540673.69999999995</v>
      </c>
      <c r="EA54" s="3">
        <v>537660</v>
      </c>
      <c r="EB54" s="3">
        <v>531781.9</v>
      </c>
      <c r="EC54" s="3">
        <v>532991.9</v>
      </c>
      <c r="ED54" s="3">
        <v>537852.30000000005</v>
      </c>
      <c r="EE54" s="3">
        <v>538774.80000000005</v>
      </c>
      <c r="EF54" s="3">
        <v>551316.9</v>
      </c>
      <c r="EG54" s="3">
        <v>558635.19999999995</v>
      </c>
      <c r="EH54" s="3">
        <v>568327.80000000005</v>
      </c>
      <c r="EI54" s="3">
        <v>565458.80000000005</v>
      </c>
      <c r="EJ54" s="3">
        <v>567418.4</v>
      </c>
      <c r="EK54" s="3">
        <v>571396.1</v>
      </c>
      <c r="EL54" s="3">
        <v>571969.69999999995</v>
      </c>
      <c r="EM54" s="3">
        <v>577525.80000000005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6247-9D8D-4EF8-B874-FE41F498EA2D}">
  <dimension ref="A1:V143"/>
  <sheetViews>
    <sheetView workbookViewId="0">
      <selection activeCell="O16" sqref="O16:V18"/>
    </sheetView>
  </sheetViews>
  <sheetFormatPr defaultRowHeight="16.5" x14ac:dyDescent="0.3"/>
  <sheetData>
    <row r="1" spans="1:22" x14ac:dyDescent="0.3">
      <c r="A1" s="1" t="s">
        <v>0</v>
      </c>
      <c r="B1" s="4" t="s">
        <v>189</v>
      </c>
      <c r="C1" s="4" t="s">
        <v>190</v>
      </c>
      <c r="D1" s="4" t="s">
        <v>191</v>
      </c>
      <c r="E1" s="4" t="s">
        <v>192</v>
      </c>
      <c r="F1" s="4" t="s">
        <v>193</v>
      </c>
      <c r="G1" s="4" t="s">
        <v>194</v>
      </c>
      <c r="H1" s="5" t="s">
        <v>195</v>
      </c>
      <c r="I1" s="4" t="s">
        <v>220</v>
      </c>
      <c r="J1" s="5" t="s">
        <v>221</v>
      </c>
      <c r="K1" s="4" t="s">
        <v>222</v>
      </c>
      <c r="L1" s="5" t="s">
        <v>223</v>
      </c>
    </row>
    <row r="2" spans="1:22" x14ac:dyDescent="0.3">
      <c r="A2" s="2" t="s">
        <v>1</v>
      </c>
      <c r="B2" s="3">
        <v>107607</v>
      </c>
      <c r="C2" s="3">
        <v>11508</v>
      </c>
      <c r="D2" s="3">
        <v>119159.6</v>
      </c>
      <c r="E2" s="3">
        <v>16043.4</v>
      </c>
      <c r="F2" s="3">
        <v>135203</v>
      </c>
      <c r="G2" s="3">
        <v>-118.1</v>
      </c>
      <c r="H2" s="3">
        <v>135144.6</v>
      </c>
      <c r="I2" s="3">
        <v>119159.6</v>
      </c>
      <c r="J2" s="3">
        <v>135144.6</v>
      </c>
    </row>
    <row r="3" spans="1:22" x14ac:dyDescent="0.3">
      <c r="A3" s="2" t="s">
        <v>2</v>
      </c>
      <c r="B3" s="3">
        <v>109978.5</v>
      </c>
      <c r="C3" s="3">
        <v>11826.6</v>
      </c>
      <c r="D3" s="3">
        <v>121845.8</v>
      </c>
      <c r="E3" s="3">
        <v>16599.400000000001</v>
      </c>
      <c r="F3" s="3">
        <v>138445.20000000001</v>
      </c>
      <c r="G3" s="3">
        <v>-253.1</v>
      </c>
      <c r="H3" s="3">
        <v>138257.70000000001</v>
      </c>
      <c r="I3" s="3">
        <v>121845.8</v>
      </c>
      <c r="J3" s="3">
        <v>138257.70000000001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</row>
    <row r="4" spans="1:22" x14ac:dyDescent="0.3">
      <c r="A4" s="2" t="s">
        <v>3</v>
      </c>
      <c r="B4" s="3">
        <v>113863.4</v>
      </c>
      <c r="C4" s="3">
        <v>12259.3</v>
      </c>
      <c r="D4" s="3">
        <v>126163.7</v>
      </c>
      <c r="E4" s="3">
        <v>17564.8</v>
      </c>
      <c r="F4" s="3">
        <v>143728.5</v>
      </c>
      <c r="G4" s="3">
        <v>-182.9</v>
      </c>
      <c r="H4" s="3">
        <v>143611</v>
      </c>
      <c r="I4" s="3">
        <v>126163.7</v>
      </c>
      <c r="J4" s="3">
        <v>143611</v>
      </c>
      <c r="O4">
        <v>1992</v>
      </c>
      <c r="P4">
        <f t="shared" ref="P4:U4" si="0">O4+5</f>
        <v>1997</v>
      </c>
      <c r="Q4">
        <f t="shared" si="0"/>
        <v>2002</v>
      </c>
      <c r="R4">
        <f t="shared" si="0"/>
        <v>2007</v>
      </c>
      <c r="S4">
        <f t="shared" si="0"/>
        <v>2012</v>
      </c>
      <c r="T4" s="8">
        <f t="shared" si="0"/>
        <v>2017</v>
      </c>
      <c r="U4" s="8">
        <f t="shared" si="0"/>
        <v>2022</v>
      </c>
      <c r="V4" s="9">
        <f>U4+3</f>
        <v>2025</v>
      </c>
    </row>
    <row r="5" spans="1:22" x14ac:dyDescent="0.3">
      <c r="A5" s="2" t="s">
        <v>4</v>
      </c>
      <c r="B5" s="3">
        <v>116095.7</v>
      </c>
      <c r="C5" s="3">
        <v>12426.2</v>
      </c>
      <c r="D5" s="3">
        <v>128569.2</v>
      </c>
      <c r="E5" s="3">
        <v>15237.1</v>
      </c>
      <c r="F5" s="3">
        <v>143806.29999999999</v>
      </c>
      <c r="G5" s="3">
        <v>1.1000000000000001</v>
      </c>
      <c r="H5" s="3">
        <v>143866.9</v>
      </c>
      <c r="I5" s="3">
        <v>128569.2</v>
      </c>
      <c r="J5" s="3">
        <v>143866.9</v>
      </c>
      <c r="O5" t="str">
        <f>O4-1&amp;".4/4"</f>
        <v>1991.4/4</v>
      </c>
      <c r="P5" t="str">
        <f>P4-1&amp;".4/4"</f>
        <v>1996.4/4</v>
      </c>
      <c r="Q5" t="str">
        <f>Q4-1&amp;".4/4"</f>
        <v>2001.4/4</v>
      </c>
      <c r="R5" t="str">
        <f>R4-1&amp;".4/4"</f>
        <v>2006.4/4</v>
      </c>
      <c r="S5" t="str">
        <f>S4-1&amp;".4/4"</f>
        <v>2011.4/4</v>
      </c>
      <c r="T5" t="str">
        <f>T4-1&amp;".1/4"</f>
        <v>2016.1/4</v>
      </c>
      <c r="U5" t="str">
        <f>U4-1&amp;".1/4"</f>
        <v>2021.1/4</v>
      </c>
      <c r="V5" t="str">
        <f>V4-1&amp;".2/4"</f>
        <v>2024.2/4</v>
      </c>
    </row>
    <row r="6" spans="1:22" x14ac:dyDescent="0.3">
      <c r="A6" s="2" t="s">
        <v>5</v>
      </c>
      <c r="B6" s="3">
        <v>120461.1</v>
      </c>
      <c r="C6" s="3">
        <v>12758.6</v>
      </c>
      <c r="D6" s="3">
        <v>133273.1</v>
      </c>
      <c r="E6" s="3">
        <v>15954.2</v>
      </c>
      <c r="F6" s="3">
        <v>149227.20000000001</v>
      </c>
      <c r="G6" s="3">
        <v>-142.6</v>
      </c>
      <c r="H6" s="3">
        <v>149151.20000000001</v>
      </c>
      <c r="I6" s="3">
        <v>133273.1</v>
      </c>
      <c r="J6" s="3">
        <v>149151.20000000001</v>
      </c>
      <c r="O6" t="str">
        <f>O4&amp;".4/4"</f>
        <v>1992.4/4</v>
      </c>
      <c r="P6" t="str">
        <f>P4&amp;".4/4"</f>
        <v>1997.4/4</v>
      </c>
      <c r="Q6" t="str">
        <f>Q4&amp;".4/4"</f>
        <v>2002.4/4</v>
      </c>
      <c r="R6" t="str">
        <f>R4&amp;".4/4"</f>
        <v>2007.4/4</v>
      </c>
      <c r="S6" t="str">
        <f>S4&amp;".4/4"</f>
        <v>2012.4/4</v>
      </c>
      <c r="T6" t="str">
        <f>T4&amp;".1/4"</f>
        <v>2017.1/4</v>
      </c>
      <c r="U6" t="str">
        <f>U4&amp;".1/4"</f>
        <v>2022.1/4</v>
      </c>
      <c r="V6" t="str">
        <f>V4&amp;".2/4"</f>
        <v>2025.2/4</v>
      </c>
    </row>
    <row r="7" spans="1:22" x14ac:dyDescent="0.3">
      <c r="A7" s="2" t="s">
        <v>6</v>
      </c>
      <c r="B7" s="3">
        <v>122537.4</v>
      </c>
      <c r="C7" s="3">
        <v>12951.8</v>
      </c>
      <c r="D7" s="3">
        <v>135544.5</v>
      </c>
      <c r="E7" s="3">
        <v>17946.5</v>
      </c>
      <c r="F7" s="3">
        <v>153491.1</v>
      </c>
      <c r="G7" s="3">
        <v>-55.2</v>
      </c>
      <c r="H7" s="3">
        <v>153501.79999999999</v>
      </c>
      <c r="I7" s="3">
        <v>135544.5</v>
      </c>
      <c r="J7" s="3">
        <v>153501.79999999999</v>
      </c>
    </row>
    <row r="8" spans="1:22" x14ac:dyDescent="0.3">
      <c r="A8" s="2" t="s">
        <v>7</v>
      </c>
      <c r="B8" s="3">
        <v>125443.2</v>
      </c>
      <c r="C8" s="3">
        <v>13125.8</v>
      </c>
      <c r="D8" s="3">
        <v>138631</v>
      </c>
      <c r="E8" s="3">
        <v>19458.5</v>
      </c>
      <c r="F8" s="3">
        <v>158089.5</v>
      </c>
      <c r="G8" s="3">
        <v>-49.8</v>
      </c>
      <c r="H8" s="3">
        <v>158107.5</v>
      </c>
      <c r="I8" s="3">
        <v>138631</v>
      </c>
      <c r="J8" s="3">
        <v>158107.5</v>
      </c>
      <c r="N8" t="s">
        <v>224</v>
      </c>
      <c r="O8" s="10">
        <f>_xlfn.XLOOKUP(O5,$A:$A,$K:$K)</f>
        <v>10.874951562144771</v>
      </c>
      <c r="P8" s="10">
        <f t="shared" ref="P8:V8" si="1">_xlfn.XLOOKUP(P5,$A:$A,$K:$K)</f>
        <v>7.9904165037556734</v>
      </c>
      <c r="Q8" s="10">
        <f t="shared" si="1"/>
        <v>4.7259251126827797</v>
      </c>
      <c r="R8" s="10">
        <f t="shared" si="1"/>
        <v>5.2449976594254615</v>
      </c>
      <c r="S8" s="10">
        <f t="shared" si="1"/>
        <v>3.6880320602952112</v>
      </c>
      <c r="T8" s="10">
        <f t="shared" si="1"/>
        <v>3.0383562997250677</v>
      </c>
      <c r="U8" s="10">
        <f t="shared" si="1"/>
        <v>-0.36767450110386107</v>
      </c>
      <c r="V8" s="10">
        <f t="shared" si="1"/>
        <v>2.2973876003689258</v>
      </c>
    </row>
    <row r="9" spans="1:22" x14ac:dyDescent="0.3">
      <c r="A9" s="2" t="s">
        <v>8</v>
      </c>
      <c r="B9" s="3">
        <v>128659.4</v>
      </c>
      <c r="C9" s="3">
        <v>13478.7</v>
      </c>
      <c r="D9" s="3">
        <v>142201</v>
      </c>
      <c r="E9" s="3">
        <v>20044.400000000001</v>
      </c>
      <c r="F9" s="3">
        <v>162245.5</v>
      </c>
      <c r="G9" s="3">
        <v>-360</v>
      </c>
      <c r="H9" s="3">
        <v>161964.20000000001</v>
      </c>
      <c r="I9" s="3">
        <v>142201</v>
      </c>
      <c r="J9" s="3">
        <v>161964.20000000001</v>
      </c>
      <c r="K9" s="7">
        <f>(SUM(I6:I9)-SUM(I2:I5))/SUM(I2:I5)*100</f>
        <v>10.874951562144771</v>
      </c>
      <c r="L9" s="7">
        <f>(SUM(J6:J9)-SUM(J2:J5))/SUM(J2:J5)*100</f>
        <v>11.026329686802971</v>
      </c>
      <c r="M9" s="10"/>
      <c r="N9" t="s">
        <v>225</v>
      </c>
      <c r="O9" s="10">
        <f>_xlfn.XLOOKUP(O6,$A:$A,$K:$K)</f>
        <v>6.3515919960644238</v>
      </c>
      <c r="P9" s="10">
        <f t="shared" ref="P9:V9" si="2">_xlfn.XLOOKUP(P6,$A:$A,$K:$K)</f>
        <v>6.2822057645820593</v>
      </c>
      <c r="Q9" s="10">
        <f t="shared" si="2"/>
        <v>7.7439989531956908</v>
      </c>
      <c r="R9" s="10">
        <f t="shared" si="2"/>
        <v>5.8419787381008099</v>
      </c>
      <c r="S9" s="10">
        <f t="shared" si="2"/>
        <v>2.5476655056823918</v>
      </c>
      <c r="T9" s="10">
        <f t="shared" si="2"/>
        <v>3.2925064865923495</v>
      </c>
      <c r="U9" s="10">
        <f t="shared" si="2"/>
        <v>4.8104215437682125</v>
      </c>
      <c r="V9" s="10">
        <f t="shared" si="2"/>
        <v>0.7409584468349445</v>
      </c>
    </row>
    <row r="10" spans="1:22" x14ac:dyDescent="0.3">
      <c r="A10" s="2" t="s">
        <v>9</v>
      </c>
      <c r="B10" s="3">
        <v>131061.6</v>
      </c>
      <c r="C10" s="3">
        <v>13511.7</v>
      </c>
      <c r="D10" s="3">
        <v>144661.6</v>
      </c>
      <c r="E10" s="3">
        <v>19587.3</v>
      </c>
      <c r="F10" s="3">
        <v>164248.79999999999</v>
      </c>
      <c r="G10" s="3">
        <v>-95.3</v>
      </c>
      <c r="H10" s="3">
        <v>164227.1</v>
      </c>
      <c r="I10" s="3">
        <v>144661.6</v>
      </c>
      <c r="J10" s="3">
        <v>164227.1</v>
      </c>
      <c r="K10" s="7">
        <f t="shared" ref="K10:L10" si="3">(SUM(I7:I10)-SUM(I3:I6))/SUM(I3:I6)*100</f>
        <v>10.039446756881103</v>
      </c>
      <c r="L10" s="7">
        <f t="shared" si="3"/>
        <v>10.943684913273348</v>
      </c>
      <c r="M10" s="10"/>
      <c r="N10" t="s">
        <v>226</v>
      </c>
      <c r="O10" s="10">
        <f>_xlfn.XLOOKUP(O5,$A:$A,$L:$L)</f>
        <v>11.026329686802971</v>
      </c>
      <c r="P10" s="10">
        <f t="shared" ref="P10:V10" si="4">_xlfn.XLOOKUP(P5,$A:$A,$L:$L)</f>
        <v>6.7794672742634692</v>
      </c>
      <c r="Q10" s="10">
        <f t="shared" si="4"/>
        <v>3.8618428207987332</v>
      </c>
      <c r="R10" s="10">
        <f t="shared" si="4"/>
        <v>3.9503202591454958</v>
      </c>
      <c r="S10" s="10">
        <f t="shared" si="4"/>
        <v>1.6918701961107574</v>
      </c>
      <c r="T10" s="10">
        <f t="shared" si="4"/>
        <v>5.825803549612572</v>
      </c>
      <c r="U10" s="10">
        <f t="shared" si="4"/>
        <v>0.92167864240500996</v>
      </c>
      <c r="V10" s="10">
        <f t="shared" si="4"/>
        <v>4.779011720785201</v>
      </c>
    </row>
    <row r="11" spans="1:22" x14ac:dyDescent="0.3">
      <c r="A11" s="2" t="s">
        <v>10</v>
      </c>
      <c r="B11" s="3">
        <v>132039</v>
      </c>
      <c r="C11" s="3">
        <v>13623.8</v>
      </c>
      <c r="D11" s="3">
        <v>145750.70000000001</v>
      </c>
      <c r="E11" s="3">
        <v>19563</v>
      </c>
      <c r="F11" s="3">
        <v>165313.70000000001</v>
      </c>
      <c r="G11" s="3">
        <v>-292.89999999999998</v>
      </c>
      <c r="H11" s="3">
        <v>165096.5</v>
      </c>
      <c r="I11" s="3">
        <v>145750.70000000001</v>
      </c>
      <c r="J11" s="3">
        <v>165096.5</v>
      </c>
      <c r="K11" s="7">
        <f t="shared" ref="K11:L11" si="5">(SUM(I8:I11)-SUM(I4:I7))/SUM(I4:I7)*100</f>
        <v>9.1096847391034945</v>
      </c>
      <c r="L11" s="7">
        <f t="shared" si="5"/>
        <v>10.042585467054856</v>
      </c>
      <c r="M11" s="10"/>
      <c r="N11" t="s">
        <v>227</v>
      </c>
      <c r="O11" s="10">
        <f t="shared" ref="O11:V11" si="6">_xlfn.XLOOKUP(O6,$A:$A,$L:$L)</f>
        <v>6.271053645374919</v>
      </c>
      <c r="P11" s="10">
        <f t="shared" si="6"/>
        <v>4.3036378553893169</v>
      </c>
      <c r="Q11" s="10">
        <f t="shared" si="6"/>
        <v>8.7647522017669335</v>
      </c>
      <c r="R11" s="10">
        <f t="shared" si="6"/>
        <v>5.5616937577297003</v>
      </c>
      <c r="S11" s="10">
        <f t="shared" si="6"/>
        <v>3.0485225475994326</v>
      </c>
      <c r="T11" s="10">
        <f t="shared" si="6"/>
        <v>4.148143388012616</v>
      </c>
      <c r="U11" s="10">
        <f t="shared" si="6"/>
        <v>3.0011837396286452</v>
      </c>
      <c r="V11" s="10">
        <f t="shared" si="6"/>
        <v>1.9864746282621863</v>
      </c>
    </row>
    <row r="12" spans="1:22" x14ac:dyDescent="0.3">
      <c r="A12" s="2" t="s">
        <v>11</v>
      </c>
      <c r="B12" s="3">
        <v>132391.6</v>
      </c>
      <c r="C12" s="3">
        <v>13423.9</v>
      </c>
      <c r="D12" s="3">
        <v>145926.1</v>
      </c>
      <c r="E12" s="3">
        <v>18897.7</v>
      </c>
      <c r="F12" s="3">
        <v>164823.79999999999</v>
      </c>
      <c r="G12" s="3">
        <v>-293.2</v>
      </c>
      <c r="H12" s="3">
        <v>164606.1</v>
      </c>
      <c r="I12" s="3">
        <v>145926.1</v>
      </c>
      <c r="J12" s="3">
        <v>164606.1</v>
      </c>
      <c r="K12" s="7">
        <f t="shared" ref="K12:L12" si="7">(SUM(I9:I12)-SUM(I5:I8))/SUM(I5:I8)*100</f>
        <v>7.9328708860041539</v>
      </c>
      <c r="L12" s="7">
        <f t="shared" si="7"/>
        <v>8.4790236102432868</v>
      </c>
      <c r="M12" s="10"/>
    </row>
    <row r="13" spans="1:22" x14ac:dyDescent="0.3">
      <c r="A13" s="2" t="s">
        <v>12</v>
      </c>
      <c r="B13" s="3">
        <v>134644</v>
      </c>
      <c r="C13" s="3">
        <v>13446.7</v>
      </c>
      <c r="D13" s="3">
        <v>148222.70000000001</v>
      </c>
      <c r="E13" s="3">
        <v>19710</v>
      </c>
      <c r="F13" s="3">
        <v>167932.7</v>
      </c>
      <c r="G13" s="3">
        <v>-161.80000000000001</v>
      </c>
      <c r="H13" s="3">
        <v>167846.39999999999</v>
      </c>
      <c r="I13" s="3">
        <v>148222.70000000001</v>
      </c>
      <c r="J13" s="3">
        <v>167846.39999999999</v>
      </c>
      <c r="K13" s="7">
        <f t="shared" ref="K13:L13" si="8">(SUM(I10:I13)-SUM(I6:I9))/SUM(I6:I9)*100</f>
        <v>6.3515919960644238</v>
      </c>
      <c r="L13" s="7">
        <f t="shared" si="8"/>
        <v>6.271053645374919</v>
      </c>
      <c r="M13" s="10"/>
    </row>
    <row r="14" spans="1:22" x14ac:dyDescent="0.3">
      <c r="A14" s="2" t="s">
        <v>13</v>
      </c>
      <c r="B14" s="3">
        <v>137587.79999999999</v>
      </c>
      <c r="C14" s="3">
        <v>13581.3</v>
      </c>
      <c r="D14" s="3">
        <v>151302</v>
      </c>
      <c r="E14" s="3">
        <v>20148.900000000001</v>
      </c>
      <c r="F14" s="3">
        <v>171451</v>
      </c>
      <c r="G14" s="3">
        <v>-191</v>
      </c>
      <c r="H14" s="3">
        <v>171337.7</v>
      </c>
      <c r="I14" s="3">
        <v>151302</v>
      </c>
      <c r="J14" s="3">
        <v>171337.7</v>
      </c>
      <c r="K14" s="7">
        <f t="shared" ref="K14:L14" si="9">(SUM(I11:I14)-SUM(I7:I10))/SUM(I7:I10)*100</f>
        <v>5.3763550104707729</v>
      </c>
      <c r="L14" s="7">
        <f t="shared" si="9"/>
        <v>4.8739527683103434</v>
      </c>
      <c r="M14" s="10"/>
    </row>
    <row r="15" spans="1:22" x14ac:dyDescent="0.3">
      <c r="A15" s="2" t="s">
        <v>14</v>
      </c>
      <c r="B15" s="3">
        <v>141101.70000000001</v>
      </c>
      <c r="C15" s="3">
        <v>13879.9</v>
      </c>
      <c r="D15" s="3">
        <v>155120.79999999999</v>
      </c>
      <c r="E15" s="3">
        <v>20267.5</v>
      </c>
      <c r="F15" s="3">
        <v>175388.3</v>
      </c>
      <c r="G15" s="3">
        <v>-206.9</v>
      </c>
      <c r="H15" s="3">
        <v>175261</v>
      </c>
      <c r="I15" s="3">
        <v>155120.79999999999</v>
      </c>
      <c r="J15" s="3">
        <v>175261</v>
      </c>
      <c r="K15" s="7">
        <f t="shared" ref="K15:L15" si="10">(SUM(I12:I15)-SUM(I8:I11))/SUM(I8:I11)*100</f>
        <v>5.1339330650651647</v>
      </c>
      <c r="L15" s="7">
        <f t="shared" si="10"/>
        <v>4.5666945849469354</v>
      </c>
      <c r="M15" s="10"/>
      <c r="O15">
        <v>14</v>
      </c>
      <c r="P15">
        <v>15</v>
      </c>
      <c r="Q15">
        <v>16</v>
      </c>
      <c r="R15">
        <v>17</v>
      </c>
      <c r="S15">
        <v>18</v>
      </c>
      <c r="T15">
        <v>19</v>
      </c>
      <c r="U15">
        <v>20</v>
      </c>
      <c r="V15">
        <v>21</v>
      </c>
    </row>
    <row r="16" spans="1:22" x14ac:dyDescent="0.3">
      <c r="A16" s="2" t="s">
        <v>15</v>
      </c>
      <c r="B16" s="3">
        <v>143676.5</v>
      </c>
      <c r="C16" s="3">
        <v>14140.6</v>
      </c>
      <c r="D16" s="3">
        <v>157958.29999999999</v>
      </c>
      <c r="E16" s="3">
        <v>21360.6</v>
      </c>
      <c r="F16" s="3">
        <v>179318.9</v>
      </c>
      <c r="G16" s="3">
        <v>-210.9</v>
      </c>
      <c r="H16" s="3">
        <v>179189.3</v>
      </c>
      <c r="I16" s="3">
        <v>157958.29999999999</v>
      </c>
      <c r="J16" s="3">
        <v>179189.3</v>
      </c>
      <c r="K16" s="7">
        <f t="shared" ref="K16:L16" si="11">(SUM(I13:I16)-SUM(I9:I12))/SUM(I9:I12)*100</f>
        <v>5.888000022124686</v>
      </c>
      <c r="L16" s="7">
        <f t="shared" si="11"/>
        <v>5.7540556483296887</v>
      </c>
      <c r="M16" s="10"/>
      <c r="O16">
        <v>1992</v>
      </c>
      <c r="P16">
        <f t="shared" ref="P16:U16" si="12">O16+5</f>
        <v>1997</v>
      </c>
      <c r="Q16">
        <f t="shared" si="12"/>
        <v>2002</v>
      </c>
      <c r="R16">
        <f t="shared" si="12"/>
        <v>2007</v>
      </c>
      <c r="S16">
        <f t="shared" si="12"/>
        <v>2012</v>
      </c>
      <c r="T16" s="8">
        <f t="shared" si="12"/>
        <v>2017</v>
      </c>
      <c r="U16" s="8">
        <f t="shared" si="12"/>
        <v>2022</v>
      </c>
      <c r="V16" s="9">
        <f>U16+3</f>
        <v>2025</v>
      </c>
    </row>
    <row r="17" spans="1:22" x14ac:dyDescent="0.3">
      <c r="A17" s="2" t="s">
        <v>16</v>
      </c>
      <c r="B17" s="3">
        <v>146390.70000000001</v>
      </c>
      <c r="C17" s="3">
        <v>14541.3</v>
      </c>
      <c r="D17" s="3">
        <v>161068.4</v>
      </c>
      <c r="E17" s="3">
        <v>23719.5</v>
      </c>
      <c r="F17" s="3">
        <v>184788</v>
      </c>
      <c r="G17" s="3">
        <v>-309.8</v>
      </c>
      <c r="H17" s="3">
        <v>184563.3</v>
      </c>
      <c r="I17" s="3">
        <v>161068.4</v>
      </c>
      <c r="J17" s="3">
        <v>184563.3</v>
      </c>
      <c r="K17" s="7">
        <f t="shared" ref="K17:L17" si="13">(SUM(I14:I17)-SUM(I10:I13))/SUM(I10:I13)*100</f>
        <v>6.994717917425552</v>
      </c>
      <c r="L17" s="7">
        <f t="shared" si="13"/>
        <v>7.3401260637850285</v>
      </c>
      <c r="M17" s="10"/>
      <c r="O17" t="str">
        <f>O16-1&amp;".4/4"</f>
        <v>1991.4/4</v>
      </c>
      <c r="P17" t="str">
        <f>P16-1&amp;".4/4"</f>
        <v>1996.4/4</v>
      </c>
      <c r="Q17" t="str">
        <f>Q16-1&amp;".4/4"</f>
        <v>2001.4/4</v>
      </c>
      <c r="R17" t="str">
        <f>R16-1&amp;".4/4"</f>
        <v>2006.4/4</v>
      </c>
      <c r="S17" t="str">
        <f>S16-1&amp;".4/4"</f>
        <v>2011.4/4</v>
      </c>
      <c r="T17" t="s">
        <v>228</v>
      </c>
      <c r="U17" t="s">
        <v>230</v>
      </c>
      <c r="V17" t="s">
        <v>232</v>
      </c>
    </row>
    <row r="18" spans="1:22" x14ac:dyDescent="0.3">
      <c r="A18" s="2" t="s">
        <v>17</v>
      </c>
      <c r="B18" s="3">
        <v>150588.6</v>
      </c>
      <c r="C18" s="3">
        <v>15131.7</v>
      </c>
      <c r="D18" s="3">
        <v>165850.70000000001</v>
      </c>
      <c r="E18" s="3">
        <v>23683.200000000001</v>
      </c>
      <c r="F18" s="3">
        <v>189534</v>
      </c>
      <c r="G18" s="3">
        <v>-719.6</v>
      </c>
      <c r="H18" s="3">
        <v>188906.6</v>
      </c>
      <c r="I18" s="3">
        <v>165850.70000000001</v>
      </c>
      <c r="J18" s="3">
        <v>188906.6</v>
      </c>
      <c r="K18" s="7">
        <f t="shared" ref="K18:L18" si="14">(SUM(I15:I18)-SUM(I11:I14))/SUM(I11:I14)*100</f>
        <v>8.2538187064816242</v>
      </c>
      <c r="L18" s="7">
        <f t="shared" si="14"/>
        <v>8.8256351935238069</v>
      </c>
      <c r="M18" s="10"/>
      <c r="O18" t="str">
        <f>O16&amp;".4/4"</f>
        <v>1992.4/4</v>
      </c>
      <c r="P18" t="str">
        <f>P16&amp;".4/4"</f>
        <v>1997.4/4</v>
      </c>
      <c r="Q18" t="str">
        <f>Q16&amp;".4/4"</f>
        <v>2002.4/4</v>
      </c>
      <c r="R18" t="str">
        <f>R16&amp;".4/4"</f>
        <v>2007.4/4</v>
      </c>
      <c r="S18" t="str">
        <f>S16&amp;".4/4"</f>
        <v>2012.4/4</v>
      </c>
      <c r="T18" t="s">
        <v>229</v>
      </c>
      <c r="U18" t="s">
        <v>231</v>
      </c>
      <c r="V18" t="s">
        <v>233</v>
      </c>
    </row>
    <row r="19" spans="1:22" x14ac:dyDescent="0.3">
      <c r="A19" s="2" t="s">
        <v>18</v>
      </c>
      <c r="B19" s="3">
        <v>152974.20000000001</v>
      </c>
      <c r="C19" s="3">
        <v>15513.8</v>
      </c>
      <c r="D19" s="3">
        <v>168612.4</v>
      </c>
      <c r="E19" s="3">
        <v>23083.9</v>
      </c>
      <c r="F19" s="3">
        <v>191696.3</v>
      </c>
      <c r="G19" s="3">
        <v>-190.7</v>
      </c>
      <c r="H19" s="3">
        <v>191592.7</v>
      </c>
      <c r="I19" s="3">
        <v>168612.4</v>
      </c>
      <c r="J19" s="3">
        <v>191592.7</v>
      </c>
      <c r="K19" s="7">
        <f t="shared" ref="K19:L19" si="15">(SUM(I16:I19)-SUM(I12:I15))/SUM(I12:I15)*100</f>
        <v>8.8113057627100293</v>
      </c>
      <c r="L19" s="7">
        <f t="shared" si="15"/>
        <v>9.6017354803290171</v>
      </c>
      <c r="M19" s="10"/>
    </row>
    <row r="20" spans="1:22" x14ac:dyDescent="0.3">
      <c r="A20" s="2" t="s">
        <v>19</v>
      </c>
      <c r="B20" s="3">
        <v>155611.29999999999</v>
      </c>
      <c r="C20" s="3">
        <v>15581.6</v>
      </c>
      <c r="D20" s="3">
        <v>171330.8</v>
      </c>
      <c r="E20" s="3">
        <v>22962</v>
      </c>
      <c r="F20" s="3">
        <v>194292.8</v>
      </c>
      <c r="G20" s="3">
        <v>-552.20000000000005</v>
      </c>
      <c r="H20" s="3">
        <v>193833.1</v>
      </c>
      <c r="I20" s="3">
        <v>171330.8</v>
      </c>
      <c r="J20" s="3">
        <v>193833.1</v>
      </c>
      <c r="K20" s="7">
        <f t="shared" ref="K20:L20" si="16">(SUM(I17:I20)-SUM(I13:I16))/SUM(I13:I16)*100</f>
        <v>8.8570296168583997</v>
      </c>
      <c r="L20" s="7">
        <f t="shared" si="16"/>
        <v>9.4086019955181239</v>
      </c>
      <c r="M20" s="10"/>
      <c r="N20" t="s">
        <v>224</v>
      </c>
      <c r="O20" s="10">
        <f>_xlfn.XLOOKUP(O17,$A:$A,$K:$K)</f>
        <v>10.874951562144771</v>
      </c>
      <c r="P20" s="10">
        <f t="shared" ref="P20:V20" si="17">_xlfn.XLOOKUP(P17,$A:$A,$K:$K)</f>
        <v>7.9904165037556734</v>
      </c>
      <c r="Q20" s="10">
        <f t="shared" si="17"/>
        <v>4.7259251126827797</v>
      </c>
      <c r="R20" s="10">
        <f t="shared" si="17"/>
        <v>5.2449976594254615</v>
      </c>
      <c r="S20" s="10">
        <f t="shared" si="17"/>
        <v>3.6880320602952112</v>
      </c>
      <c r="T20" s="10">
        <f t="shared" si="17"/>
        <v>2.9202813238440082</v>
      </c>
      <c r="U20" s="10">
        <f t="shared" si="17"/>
        <v>-0.70024231754210298</v>
      </c>
      <c r="V20" s="10">
        <f t="shared" si="17"/>
        <v>1.583023786538269</v>
      </c>
    </row>
    <row r="21" spans="1:22" x14ac:dyDescent="0.3">
      <c r="A21" s="2" t="s">
        <v>20</v>
      </c>
      <c r="B21" s="3">
        <v>161652.1</v>
      </c>
      <c r="C21" s="3">
        <v>16493.8</v>
      </c>
      <c r="D21" s="3">
        <v>178271.7</v>
      </c>
      <c r="E21" s="3">
        <v>25176.2</v>
      </c>
      <c r="F21" s="3">
        <v>203447.8</v>
      </c>
      <c r="G21" s="3">
        <v>-459.3</v>
      </c>
      <c r="H21" s="3">
        <v>203083.9</v>
      </c>
      <c r="I21" s="3">
        <v>178271.7</v>
      </c>
      <c r="J21" s="3">
        <v>203083.9</v>
      </c>
      <c r="K21" s="7">
        <f t="shared" ref="K21:L21" si="18">(SUM(I18:I21)-SUM(I14:I17))/SUM(I14:I17)*100</f>
        <v>9.371835775710105</v>
      </c>
      <c r="L21" s="7">
        <f t="shared" si="18"/>
        <v>9.4411032963549157</v>
      </c>
      <c r="M21" s="10"/>
      <c r="N21" t="s">
        <v>225</v>
      </c>
      <c r="O21" s="10">
        <f>_xlfn.XLOOKUP(O18,$A:$A,$K:$K)</f>
        <v>6.3515919960644238</v>
      </c>
      <c r="P21" s="10">
        <f t="shared" ref="P21:V21" si="19">_xlfn.XLOOKUP(P18,$A:$A,$K:$K)</f>
        <v>6.2822057645820593</v>
      </c>
      <c r="Q21" s="10">
        <f t="shared" si="19"/>
        <v>7.7439989531956908</v>
      </c>
      <c r="R21" s="10">
        <f t="shared" si="19"/>
        <v>5.8419787381008099</v>
      </c>
      <c r="S21" s="10">
        <f t="shared" si="19"/>
        <v>2.5476655056823918</v>
      </c>
      <c r="T21" s="10">
        <f t="shared" si="19"/>
        <v>3.1715330964120021</v>
      </c>
      <c r="U21" s="10">
        <f t="shared" si="19"/>
        <v>4.6129679545428779</v>
      </c>
      <c r="V21" s="10">
        <f t="shared" si="19"/>
        <v>2.0036020291763297</v>
      </c>
    </row>
    <row r="22" spans="1:22" x14ac:dyDescent="0.3">
      <c r="A22" s="2" t="s">
        <v>21</v>
      </c>
      <c r="B22" s="3">
        <v>165453.20000000001</v>
      </c>
      <c r="C22" s="3">
        <v>16612.2</v>
      </c>
      <c r="D22" s="3">
        <v>182209.4</v>
      </c>
      <c r="E22" s="3">
        <v>25000</v>
      </c>
      <c r="F22" s="3">
        <v>207209.4</v>
      </c>
      <c r="G22" s="3">
        <v>-633.4</v>
      </c>
      <c r="H22" s="3">
        <v>206675.3</v>
      </c>
      <c r="I22" s="3">
        <v>182209.4</v>
      </c>
      <c r="J22" s="3">
        <v>206675.3</v>
      </c>
      <c r="K22" s="7">
        <f t="shared" ref="K22:L22" si="20">(SUM(I19:I22)-SUM(I15:I18))/SUM(I15:I18)*100</f>
        <v>9.4416046795131567</v>
      </c>
      <c r="L22" s="7">
        <f t="shared" si="20"/>
        <v>9.2406832507189733</v>
      </c>
      <c r="M22" s="10"/>
      <c r="N22" t="s">
        <v>226</v>
      </c>
      <c r="O22" s="10">
        <f>_xlfn.XLOOKUP(O17,$A:$A,$L:$L)</f>
        <v>11.026329686802971</v>
      </c>
      <c r="P22" s="10">
        <f t="shared" ref="P22:V22" si="21">_xlfn.XLOOKUP(P17,$A:$A,$L:$L)</f>
        <v>6.7794672742634692</v>
      </c>
      <c r="Q22" s="10">
        <f t="shared" si="21"/>
        <v>3.8618428207987332</v>
      </c>
      <c r="R22" s="10">
        <f t="shared" si="21"/>
        <v>3.9503202591454958</v>
      </c>
      <c r="S22" s="10">
        <f t="shared" si="21"/>
        <v>1.6918701961107574</v>
      </c>
      <c r="T22" s="10">
        <f t="shared" si="21"/>
        <v>6.5392456766867877</v>
      </c>
      <c r="U22" s="10">
        <f t="shared" si="21"/>
        <v>0.14732982782406476</v>
      </c>
      <c r="V22" s="10">
        <f t="shared" si="21"/>
        <v>2.0284423436528587</v>
      </c>
    </row>
    <row r="23" spans="1:22" x14ac:dyDescent="0.3">
      <c r="A23" s="2" t="s">
        <v>22</v>
      </c>
      <c r="B23" s="3">
        <v>168591.4</v>
      </c>
      <c r="C23" s="3">
        <v>16946.599999999999</v>
      </c>
      <c r="D23" s="3">
        <v>185683.6</v>
      </c>
      <c r="E23" s="3">
        <v>24269.3</v>
      </c>
      <c r="F23" s="3">
        <v>209952.9</v>
      </c>
      <c r="G23" s="3">
        <v>-852.8</v>
      </c>
      <c r="H23" s="3">
        <v>209203.5</v>
      </c>
      <c r="I23" s="3">
        <v>185683.6</v>
      </c>
      <c r="J23" s="3">
        <v>209203.5</v>
      </c>
      <c r="K23" s="7">
        <f t="shared" ref="K23:L23" si="22">(SUM(I20:I23)-SUM(I16:I19))/SUM(I16:I19)*100</f>
        <v>9.7944451466572353</v>
      </c>
      <c r="L23" s="7">
        <f t="shared" si="22"/>
        <v>9.2097715840564387</v>
      </c>
      <c r="M23" s="10"/>
      <c r="N23" t="s">
        <v>227</v>
      </c>
      <c r="O23" s="10">
        <f t="shared" ref="O23:V23" si="23">_xlfn.XLOOKUP(O18,$A:$A,$L:$L)</f>
        <v>6.271053645374919</v>
      </c>
      <c r="P23" s="10">
        <f t="shared" si="23"/>
        <v>4.3036378553893169</v>
      </c>
      <c r="Q23" s="10">
        <f t="shared" si="23"/>
        <v>8.7647522017669335</v>
      </c>
      <c r="R23" s="10">
        <f t="shared" si="23"/>
        <v>5.5616937577297003</v>
      </c>
      <c r="S23" s="10">
        <f t="shared" si="23"/>
        <v>3.0485225475994326</v>
      </c>
      <c r="T23" s="10">
        <f t="shared" si="23"/>
        <v>4.6133234863750365</v>
      </c>
      <c r="U23" s="10">
        <f t="shared" si="23"/>
        <v>3.8038889854160054</v>
      </c>
      <c r="V23" s="10">
        <f t="shared" si="23"/>
        <v>3.9340857170872159</v>
      </c>
    </row>
    <row r="24" spans="1:22" x14ac:dyDescent="0.3">
      <c r="A24" s="2" t="s">
        <v>23</v>
      </c>
      <c r="B24" s="3">
        <v>171964.1</v>
      </c>
      <c r="C24" s="3">
        <v>17487.900000000001</v>
      </c>
      <c r="D24" s="3">
        <v>189589.1</v>
      </c>
      <c r="E24" s="3">
        <v>24020.2</v>
      </c>
      <c r="F24" s="3">
        <v>213609.4</v>
      </c>
      <c r="G24" s="3">
        <v>-833.4</v>
      </c>
      <c r="H24" s="3">
        <v>212880.9</v>
      </c>
      <c r="I24" s="3">
        <v>189589.1</v>
      </c>
      <c r="J24" s="3">
        <v>212880.9</v>
      </c>
      <c r="K24" s="7">
        <f t="shared" ref="K24:L24" si="24">(SUM(I21:I24)-SUM(I17:I20))/SUM(I17:I20)*100</f>
        <v>10.330693458004731</v>
      </c>
      <c r="L24" s="7">
        <f t="shared" si="24"/>
        <v>9.6123749284651243</v>
      </c>
      <c r="M24" s="10"/>
    </row>
    <row r="25" spans="1:22" x14ac:dyDescent="0.3">
      <c r="A25" s="2" t="s">
        <v>24</v>
      </c>
      <c r="B25" s="3">
        <v>175174</v>
      </c>
      <c r="C25" s="3">
        <v>17873</v>
      </c>
      <c r="D25" s="3">
        <v>193183.4</v>
      </c>
      <c r="E25" s="3">
        <v>25501</v>
      </c>
      <c r="F25" s="3">
        <v>218684.4</v>
      </c>
      <c r="G25" s="3">
        <v>-715.8</v>
      </c>
      <c r="H25" s="3">
        <v>218073.8</v>
      </c>
      <c r="I25" s="3">
        <v>193183.4</v>
      </c>
      <c r="J25" s="3">
        <v>218073.8</v>
      </c>
      <c r="K25" s="7">
        <f t="shared" ref="K25:L25" si="25">(SUM(I22:I25)-SUM(I18:I21))/SUM(I18:I21)*100</f>
        <v>9.7358937505408871</v>
      </c>
      <c r="L25" s="7">
        <f t="shared" si="25"/>
        <v>8.9292184895016931</v>
      </c>
      <c r="M25" s="10"/>
    </row>
    <row r="26" spans="1:22" x14ac:dyDescent="0.3">
      <c r="A26" s="2" t="s">
        <v>25</v>
      </c>
      <c r="B26" s="3">
        <v>178706.5</v>
      </c>
      <c r="C26" s="3">
        <v>18217.5</v>
      </c>
      <c r="D26" s="3">
        <v>197063.4</v>
      </c>
      <c r="E26" s="3">
        <v>24681.599999999999</v>
      </c>
      <c r="F26" s="3">
        <v>221745.1</v>
      </c>
      <c r="G26" s="3">
        <v>-812.2</v>
      </c>
      <c r="H26" s="3">
        <v>221041</v>
      </c>
      <c r="I26" s="3">
        <v>197063.4</v>
      </c>
      <c r="J26" s="3">
        <v>221041</v>
      </c>
      <c r="K26" s="7">
        <f t="shared" ref="K26:L26" si="26">(SUM(I23:I26)-SUM(I19:I22))/SUM(I19:I22)*100</f>
        <v>9.2936809873672388</v>
      </c>
      <c r="L26" s="7">
        <f t="shared" si="26"/>
        <v>8.3017411042713274</v>
      </c>
      <c r="M26" s="10"/>
    </row>
    <row r="27" spans="1:22" x14ac:dyDescent="0.3">
      <c r="A27" s="2" t="s">
        <v>26</v>
      </c>
      <c r="B27" s="3">
        <v>182013.7</v>
      </c>
      <c r="C27" s="3">
        <v>18712.599999999999</v>
      </c>
      <c r="D27" s="3">
        <v>200858.6</v>
      </c>
      <c r="E27" s="3">
        <v>25341.200000000001</v>
      </c>
      <c r="F27" s="3">
        <v>226199.8</v>
      </c>
      <c r="G27" s="3">
        <v>-824.2</v>
      </c>
      <c r="H27" s="3">
        <v>225486</v>
      </c>
      <c r="I27" s="3">
        <v>200858.6</v>
      </c>
      <c r="J27" s="3">
        <v>225486</v>
      </c>
      <c r="K27" s="7">
        <f t="shared" ref="K27:L27" si="27">(SUM(I24:I27)-SUM(I20:I23))/SUM(I20:I23)*100</f>
        <v>8.8082782400725854</v>
      </c>
      <c r="L27" s="7">
        <f t="shared" si="27"/>
        <v>7.9584441750314037</v>
      </c>
      <c r="M27" s="10"/>
    </row>
    <row r="28" spans="1:22" x14ac:dyDescent="0.3">
      <c r="A28" s="2" t="s">
        <v>27</v>
      </c>
      <c r="B28" s="3">
        <v>185675.9</v>
      </c>
      <c r="C28" s="3">
        <v>18733.3</v>
      </c>
      <c r="D28" s="3">
        <v>204565.9</v>
      </c>
      <c r="E28" s="3">
        <v>23852.400000000001</v>
      </c>
      <c r="F28" s="3">
        <v>228418.4</v>
      </c>
      <c r="G28" s="3">
        <v>-483.1</v>
      </c>
      <c r="H28" s="3">
        <v>228041.2</v>
      </c>
      <c r="I28" s="3">
        <v>204565.9</v>
      </c>
      <c r="J28" s="3">
        <v>228041.2</v>
      </c>
      <c r="K28" s="7">
        <f t="shared" ref="K28:L28" si="28">(SUM(I25:I28)-SUM(I21:I24))/SUM(I21:I24)*100</f>
        <v>8.1436888263438281</v>
      </c>
      <c r="L28" s="7">
        <f t="shared" si="28"/>
        <v>7.3088739277431509</v>
      </c>
      <c r="M28" s="10"/>
    </row>
    <row r="29" spans="1:22" x14ac:dyDescent="0.3">
      <c r="A29" s="2" t="s">
        <v>28</v>
      </c>
      <c r="B29" s="3">
        <v>188907.4</v>
      </c>
      <c r="C29" s="3">
        <v>19094.099999999999</v>
      </c>
      <c r="D29" s="3">
        <v>208158.9</v>
      </c>
      <c r="E29" s="3">
        <v>22410.6</v>
      </c>
      <c r="F29" s="3">
        <v>230569.5</v>
      </c>
      <c r="G29" s="3">
        <v>-1007.4</v>
      </c>
      <c r="H29" s="3">
        <v>229676.1</v>
      </c>
      <c r="I29" s="3">
        <v>208158.9</v>
      </c>
      <c r="J29" s="3">
        <v>229676.1</v>
      </c>
      <c r="K29" s="7">
        <f t="shared" ref="K29:L29" si="29">(SUM(I26:I29)-SUM(I22:I25))/SUM(I22:I25)*100</f>
        <v>7.9904165037556734</v>
      </c>
      <c r="L29" s="7">
        <f t="shared" si="29"/>
        <v>6.7794672742634692</v>
      </c>
      <c r="M29" s="10"/>
    </row>
    <row r="30" spans="1:22" x14ac:dyDescent="0.3">
      <c r="A30" s="2" t="s">
        <v>29</v>
      </c>
      <c r="B30" s="3">
        <v>189897.60000000001</v>
      </c>
      <c r="C30" s="3">
        <v>19109.900000000001</v>
      </c>
      <c r="D30" s="3">
        <v>209163.5</v>
      </c>
      <c r="E30" s="3">
        <v>22782.1</v>
      </c>
      <c r="F30" s="3">
        <v>231945.60000000001</v>
      </c>
      <c r="G30" s="3">
        <v>-1201.5999999999999</v>
      </c>
      <c r="H30" s="3">
        <v>230864</v>
      </c>
      <c r="I30" s="3">
        <v>209163.5</v>
      </c>
      <c r="J30" s="3">
        <v>230864</v>
      </c>
      <c r="K30" s="7">
        <f t="shared" ref="K30:L30" si="30">(SUM(I27:I30)-SUM(I23:I26))/SUM(I23:I26)*100</f>
        <v>7.4756292948775336</v>
      </c>
      <c r="L30" s="7">
        <f t="shared" si="30"/>
        <v>6.1388933013407465</v>
      </c>
      <c r="M30" s="10"/>
    </row>
    <row r="31" spans="1:22" x14ac:dyDescent="0.3">
      <c r="A31" s="2" t="s">
        <v>30</v>
      </c>
      <c r="B31" s="3">
        <v>196444.7</v>
      </c>
      <c r="C31" s="3">
        <v>19901</v>
      </c>
      <c r="D31" s="3">
        <v>216503.8</v>
      </c>
      <c r="E31" s="3">
        <v>22813.1</v>
      </c>
      <c r="F31" s="3">
        <v>239316.9</v>
      </c>
      <c r="G31" s="3">
        <v>-1134.7</v>
      </c>
      <c r="H31" s="3">
        <v>238304.1</v>
      </c>
      <c r="I31" s="3">
        <v>216503.8</v>
      </c>
      <c r="J31" s="3">
        <v>238304.1</v>
      </c>
      <c r="K31" s="7">
        <f t="shared" ref="K31:L31" si="31">(SUM(I28:I31)-SUM(I24:I27))/SUM(I24:I27)*100</f>
        <v>7.3905477750900115</v>
      </c>
      <c r="L31" s="7">
        <f t="shared" si="31"/>
        <v>5.6301686975352387</v>
      </c>
      <c r="M31" s="10"/>
    </row>
    <row r="32" spans="1:22" x14ac:dyDescent="0.3">
      <c r="A32" s="2" t="s">
        <v>31</v>
      </c>
      <c r="B32" s="3">
        <v>198336.4</v>
      </c>
      <c r="C32" s="3">
        <v>20126</v>
      </c>
      <c r="D32" s="3">
        <v>218621.3</v>
      </c>
      <c r="E32" s="3">
        <v>20747.900000000001</v>
      </c>
      <c r="F32" s="3">
        <v>239369.2</v>
      </c>
      <c r="G32" s="3">
        <v>-1299.3</v>
      </c>
      <c r="H32" s="3">
        <v>238194.7</v>
      </c>
      <c r="I32" s="3">
        <v>218621.3</v>
      </c>
      <c r="J32" s="3">
        <v>238194.7</v>
      </c>
      <c r="K32" s="7">
        <f t="shared" ref="K32:L32" si="32">(SUM(I29:I32)-SUM(I25:I28))/SUM(I25:I28)*100</f>
        <v>7.1356350291885544</v>
      </c>
      <c r="L32" s="7">
        <f t="shared" si="32"/>
        <v>4.9736512510054318</v>
      </c>
      <c r="M32" s="10"/>
    </row>
    <row r="33" spans="1:13" x14ac:dyDescent="0.3">
      <c r="A33" s="2" t="s">
        <v>32</v>
      </c>
      <c r="B33" s="3">
        <v>197470.3</v>
      </c>
      <c r="C33" s="3">
        <v>19646.8</v>
      </c>
      <c r="D33" s="3">
        <v>217284.7</v>
      </c>
      <c r="E33" s="3">
        <v>19656.7</v>
      </c>
      <c r="F33" s="3">
        <v>236941.4</v>
      </c>
      <c r="G33" s="3">
        <v>-1267.0999999999999</v>
      </c>
      <c r="H33" s="3">
        <v>235796.9</v>
      </c>
      <c r="I33" s="3">
        <v>217284.7</v>
      </c>
      <c r="J33" s="3">
        <v>235796.9</v>
      </c>
      <c r="K33" s="7">
        <f t="shared" ref="K33:L33" si="33">(SUM(I30:I33)-SUM(I26:I29))/SUM(I26:I29)*100</f>
        <v>6.2822057645820593</v>
      </c>
      <c r="L33" s="7">
        <f t="shared" si="33"/>
        <v>4.3036378553893169</v>
      </c>
      <c r="M33" s="10"/>
    </row>
    <row r="34" spans="1:13" x14ac:dyDescent="0.3">
      <c r="A34" s="2" t="s">
        <v>33</v>
      </c>
      <c r="B34" s="3">
        <v>184857.3</v>
      </c>
      <c r="C34" s="3">
        <v>17678.599999999999</v>
      </c>
      <c r="D34" s="3">
        <v>202695.9</v>
      </c>
      <c r="E34" s="3">
        <v>16988.400000000001</v>
      </c>
      <c r="F34" s="3">
        <v>219684.3</v>
      </c>
      <c r="G34" s="3">
        <v>-2216.4</v>
      </c>
      <c r="H34" s="3">
        <v>217579.8</v>
      </c>
      <c r="I34" s="3">
        <v>202695.9</v>
      </c>
      <c r="J34" s="3">
        <v>217579.8</v>
      </c>
      <c r="K34" s="7">
        <f t="shared" ref="K34:L34" si="34">(SUM(I31:I34)-SUM(I27:I30))/SUM(I27:I30)*100</f>
        <v>3.9330199846392668</v>
      </c>
      <c r="L34" s="7">
        <f t="shared" si="34"/>
        <v>1.7294350208130138</v>
      </c>
      <c r="M34" s="10"/>
    </row>
    <row r="35" spans="1:13" x14ac:dyDescent="0.3">
      <c r="A35" s="2" t="s">
        <v>34</v>
      </c>
      <c r="B35" s="3">
        <v>183277</v>
      </c>
      <c r="C35" s="3">
        <v>17680</v>
      </c>
      <c r="D35" s="3">
        <v>201114.3</v>
      </c>
      <c r="E35" s="3">
        <v>13934.1</v>
      </c>
      <c r="F35" s="3">
        <v>215048.4</v>
      </c>
      <c r="G35" s="3">
        <v>-1984.9</v>
      </c>
      <c r="H35" s="3">
        <v>213173.3</v>
      </c>
      <c r="I35" s="3">
        <v>201114.3</v>
      </c>
      <c r="J35" s="3">
        <v>213173.3</v>
      </c>
      <c r="K35" s="7">
        <f t="shared" ref="K35:L35" si="35">(SUM(I32:I35)-SUM(I28:I31))/SUM(I28:I31)*100</f>
        <v>0.15793326296846788</v>
      </c>
      <c r="L35" s="7">
        <f t="shared" si="35"/>
        <v>-2.3887203315534009</v>
      </c>
      <c r="M35" s="10"/>
    </row>
    <row r="36" spans="1:13" x14ac:dyDescent="0.3">
      <c r="A36" s="2" t="s">
        <v>35</v>
      </c>
      <c r="B36" s="3">
        <v>186947.20000000001</v>
      </c>
      <c r="C36" s="3">
        <v>17941.3</v>
      </c>
      <c r="D36" s="3">
        <v>205049.8</v>
      </c>
      <c r="E36" s="3">
        <v>16202.9</v>
      </c>
      <c r="F36" s="3">
        <v>221252.6</v>
      </c>
      <c r="G36" s="3">
        <v>-2956.1</v>
      </c>
      <c r="H36" s="3">
        <v>218412.4</v>
      </c>
      <c r="I36" s="3">
        <v>205049.8</v>
      </c>
      <c r="J36" s="3">
        <v>218412.4</v>
      </c>
      <c r="K36" s="7">
        <f t="shared" ref="K36:L36" si="36">(SUM(I33:I36)-SUM(I29:I32))/SUM(I29:I32)*100</f>
        <v>-3.0855624539927731</v>
      </c>
      <c r="L36" s="7">
        <f t="shared" si="36"/>
        <v>-5.5575600970247754</v>
      </c>
      <c r="M36" s="10"/>
    </row>
    <row r="37" spans="1:13" x14ac:dyDescent="0.3">
      <c r="A37" s="2" t="s">
        <v>36</v>
      </c>
      <c r="B37" s="3">
        <v>191685.1</v>
      </c>
      <c r="C37" s="3">
        <v>18309.7</v>
      </c>
      <c r="D37" s="3">
        <v>210160.9</v>
      </c>
      <c r="E37" s="3">
        <v>16814</v>
      </c>
      <c r="F37" s="3">
        <v>226974.9</v>
      </c>
      <c r="G37" s="3">
        <v>-3797.2</v>
      </c>
      <c r="H37" s="3">
        <v>223298.4</v>
      </c>
      <c r="I37" s="3">
        <v>210160.9</v>
      </c>
      <c r="J37" s="3">
        <v>223298.4</v>
      </c>
      <c r="K37" s="7">
        <f t="shared" ref="K37:L37" si="37">(SUM(I34:I37)-SUM(I30:I33))/SUM(I30:I33)*100</f>
        <v>-4.9389181396405881</v>
      </c>
      <c r="L37" s="7">
        <f t="shared" si="37"/>
        <v>-7.4956340903878784</v>
      </c>
      <c r="M37" s="10"/>
    </row>
    <row r="38" spans="1:13" x14ac:dyDescent="0.3">
      <c r="A38" s="2" t="s">
        <v>37</v>
      </c>
      <c r="B38" s="3">
        <v>196466.4</v>
      </c>
      <c r="C38" s="3">
        <v>20168.2</v>
      </c>
      <c r="D38" s="3">
        <v>216688</v>
      </c>
      <c r="E38" s="3">
        <v>18398.099999999999</v>
      </c>
      <c r="F38" s="3">
        <v>235086.1</v>
      </c>
      <c r="G38" s="3">
        <v>-3000.1</v>
      </c>
      <c r="H38" s="3">
        <v>232205.5</v>
      </c>
      <c r="I38" s="3">
        <v>216688</v>
      </c>
      <c r="J38" s="3">
        <v>232205.5</v>
      </c>
      <c r="K38" s="7">
        <f t="shared" ref="K38:L38" si="38">(SUM(I35:I38)-SUM(I31:I34))/SUM(I31:I34)*100</f>
        <v>-2.5836221182948571</v>
      </c>
      <c r="L38" s="7">
        <f t="shared" si="38"/>
        <v>-4.6012503824436735</v>
      </c>
      <c r="M38" s="10"/>
    </row>
    <row r="39" spans="1:13" x14ac:dyDescent="0.3">
      <c r="A39" s="2" t="s">
        <v>38</v>
      </c>
      <c r="B39" s="3">
        <v>205687.1</v>
      </c>
      <c r="C39" s="3">
        <v>20271.8</v>
      </c>
      <c r="D39" s="3">
        <v>226088.5</v>
      </c>
      <c r="E39" s="3">
        <v>17205.900000000001</v>
      </c>
      <c r="F39" s="3">
        <v>243294.4</v>
      </c>
      <c r="G39" s="3">
        <v>-2689.6</v>
      </c>
      <c r="H39" s="3">
        <v>240734.5</v>
      </c>
      <c r="I39" s="3">
        <v>226088.5</v>
      </c>
      <c r="J39" s="3">
        <v>240734.5</v>
      </c>
      <c r="K39" s="7">
        <f t="shared" ref="K39:L39" si="39">(SUM(I36:I39)-SUM(I32:I35))/SUM(I32:I35)*100</f>
        <v>2.1758541754940541</v>
      </c>
      <c r="L39" s="7">
        <f t="shared" si="39"/>
        <v>1.0949055573356876</v>
      </c>
      <c r="M39" s="10"/>
    </row>
    <row r="40" spans="1:13" x14ac:dyDescent="0.3">
      <c r="A40" s="2" t="s">
        <v>39</v>
      </c>
      <c r="B40" s="3">
        <v>211409.9</v>
      </c>
      <c r="C40" s="3">
        <v>21059.1</v>
      </c>
      <c r="D40" s="3">
        <v>232582.6</v>
      </c>
      <c r="E40" s="3">
        <v>13327.3</v>
      </c>
      <c r="F40" s="3">
        <v>245909.9</v>
      </c>
      <c r="G40" s="3">
        <v>-2444.8000000000002</v>
      </c>
      <c r="H40" s="3">
        <v>243599.6</v>
      </c>
      <c r="I40" s="3">
        <v>232582.6</v>
      </c>
      <c r="J40" s="3">
        <v>243599.6</v>
      </c>
      <c r="K40" s="7">
        <f t="shared" ref="K40:L40" si="40">(SUM(I37:I40)-SUM(I33:I36))/SUM(I33:I36)*100</f>
        <v>7.1870339421169254</v>
      </c>
      <c r="L40" s="7">
        <f t="shared" si="40"/>
        <v>6.2008962188676016</v>
      </c>
      <c r="M40" s="10"/>
    </row>
    <row r="41" spans="1:13" x14ac:dyDescent="0.3">
      <c r="A41" s="2" t="s">
        <v>40</v>
      </c>
      <c r="B41" s="3">
        <v>216710.8</v>
      </c>
      <c r="C41" s="3">
        <v>22020</v>
      </c>
      <c r="D41" s="3">
        <v>238809.5</v>
      </c>
      <c r="E41" s="3">
        <v>14377.8</v>
      </c>
      <c r="F41" s="3">
        <v>253187.3</v>
      </c>
      <c r="G41" s="3">
        <v>-2594.1</v>
      </c>
      <c r="H41" s="3">
        <v>250729.2</v>
      </c>
      <c r="I41" s="3">
        <v>238809.5</v>
      </c>
      <c r="J41" s="3">
        <v>250729.2</v>
      </c>
      <c r="K41" s="7">
        <f t="shared" ref="K41:L41" si="41">(SUM(I38:I41)-SUM(I34:I37))/SUM(I34:I37)*100</f>
        <v>11.61724932782545</v>
      </c>
      <c r="L41" s="7">
        <f t="shared" si="41"/>
        <v>10.866340716217602</v>
      </c>
      <c r="M41" s="10"/>
    </row>
    <row r="42" spans="1:13" x14ac:dyDescent="0.3">
      <c r="A42" s="2" t="s">
        <v>41</v>
      </c>
      <c r="B42" s="3">
        <v>220819.8</v>
      </c>
      <c r="C42" s="3">
        <v>22654.799999999999</v>
      </c>
      <c r="D42" s="3">
        <v>243573.1</v>
      </c>
      <c r="E42" s="3">
        <v>12497.8</v>
      </c>
      <c r="F42" s="3">
        <v>256070.9</v>
      </c>
      <c r="G42" s="3">
        <v>-1895</v>
      </c>
      <c r="H42" s="3">
        <v>254281.1</v>
      </c>
      <c r="I42" s="3">
        <v>243573.1</v>
      </c>
      <c r="J42" s="3">
        <v>254281.1</v>
      </c>
      <c r="K42" s="7">
        <f t="shared" ref="K42:L42" si="42">(SUM(I39:I42)-SUM(I35:I38))/SUM(I35:I38)*100</f>
        <v>12.969869617881107</v>
      </c>
      <c r="L42" s="7">
        <f t="shared" si="42"/>
        <v>11.526997949248875</v>
      </c>
      <c r="M42" s="10"/>
    </row>
    <row r="43" spans="1:13" x14ac:dyDescent="0.3">
      <c r="A43" s="2" t="s">
        <v>42</v>
      </c>
      <c r="B43" s="3">
        <v>224778.3</v>
      </c>
      <c r="C43" s="3">
        <v>22446</v>
      </c>
      <c r="D43" s="3">
        <v>247325.9</v>
      </c>
      <c r="E43" s="3">
        <v>10448.6</v>
      </c>
      <c r="F43" s="3">
        <v>257774.5</v>
      </c>
      <c r="G43" s="3">
        <v>-1569.3</v>
      </c>
      <c r="H43" s="3">
        <v>256297.5</v>
      </c>
      <c r="I43" s="3">
        <v>247325.9</v>
      </c>
      <c r="J43" s="3">
        <v>256297.5</v>
      </c>
      <c r="K43" s="7">
        <f t="shared" ref="K43:L43" si="43">(SUM(I40:I43)-SUM(I36:I39))/SUM(I36:I39)*100</f>
        <v>12.15681306201305</v>
      </c>
      <c r="L43" s="7">
        <f t="shared" si="43"/>
        <v>9.8678752590606127</v>
      </c>
      <c r="M43" s="10"/>
    </row>
    <row r="44" spans="1:13" x14ac:dyDescent="0.3">
      <c r="A44" s="2" t="s">
        <v>43</v>
      </c>
      <c r="B44" s="3">
        <v>229919.7</v>
      </c>
      <c r="C44" s="3">
        <v>24096.1</v>
      </c>
      <c r="D44" s="3">
        <v>254117.2</v>
      </c>
      <c r="E44" s="3">
        <v>11005.6</v>
      </c>
      <c r="F44" s="3">
        <v>265122.8</v>
      </c>
      <c r="G44" s="3">
        <v>-2148.5</v>
      </c>
      <c r="H44" s="3">
        <v>263088.40000000002</v>
      </c>
      <c r="I44" s="3">
        <v>254117.2</v>
      </c>
      <c r="J44" s="3">
        <v>263088.40000000002</v>
      </c>
      <c r="K44" s="7">
        <f t="shared" ref="K44:L44" si="44">(SUM(I41:I44)-SUM(I37:I40))/SUM(I37:I40)*100</f>
        <v>11.101465805402471</v>
      </c>
      <c r="L44" s="7">
        <f t="shared" si="44"/>
        <v>8.9971037561792642</v>
      </c>
      <c r="M44" s="10"/>
    </row>
    <row r="45" spans="1:13" x14ac:dyDescent="0.3">
      <c r="A45" s="2" t="s">
        <v>44</v>
      </c>
      <c r="B45" s="3">
        <v>230193.7</v>
      </c>
      <c r="C45" s="3">
        <v>22975.200000000001</v>
      </c>
      <c r="D45" s="3">
        <v>253273</v>
      </c>
      <c r="E45" s="3">
        <v>7767.9</v>
      </c>
      <c r="F45" s="3">
        <v>261040.9</v>
      </c>
      <c r="G45" s="3">
        <v>-1337.9</v>
      </c>
      <c r="H45" s="3">
        <v>259787.8</v>
      </c>
      <c r="I45" s="3">
        <v>253273</v>
      </c>
      <c r="J45" s="3">
        <v>259787.8</v>
      </c>
      <c r="K45" s="7">
        <f t="shared" ref="K45:L45" si="45">(SUM(I42:I45)-SUM(I38:I41))/SUM(I38:I41)*100</f>
        <v>9.2018693269490974</v>
      </c>
      <c r="L45" s="7">
        <f t="shared" si="45"/>
        <v>6.8425653758293441</v>
      </c>
      <c r="M45" s="10"/>
    </row>
    <row r="46" spans="1:13" x14ac:dyDescent="0.3">
      <c r="A46" s="2" t="s">
        <v>45</v>
      </c>
      <c r="B46" s="3">
        <v>232332.2</v>
      </c>
      <c r="C46" s="3">
        <v>23389.7</v>
      </c>
      <c r="D46" s="3">
        <v>255820.79999999999</v>
      </c>
      <c r="E46" s="3">
        <v>11054.6</v>
      </c>
      <c r="F46" s="3">
        <v>266875.40000000002</v>
      </c>
      <c r="G46" s="3">
        <v>-2209.5</v>
      </c>
      <c r="H46" s="3">
        <v>264781.3</v>
      </c>
      <c r="I46" s="3">
        <v>255820.79999999999</v>
      </c>
      <c r="J46" s="3">
        <v>264781.3</v>
      </c>
      <c r="K46" s="7">
        <f t="shared" ref="K46:L46" si="46">(SUM(I43:I46)-SUM(I39:I42))/SUM(I39:I42)*100</f>
        <v>7.3835531383596873</v>
      </c>
      <c r="L46" s="7">
        <f t="shared" si="46"/>
        <v>5.5198776078380769</v>
      </c>
      <c r="M46" s="10"/>
    </row>
    <row r="47" spans="1:13" x14ac:dyDescent="0.3">
      <c r="A47" s="2" t="s">
        <v>46</v>
      </c>
      <c r="B47" s="3">
        <v>235084.6</v>
      </c>
      <c r="C47" s="3">
        <v>24477.200000000001</v>
      </c>
      <c r="D47" s="3">
        <v>259678.3</v>
      </c>
      <c r="E47" s="3">
        <v>8362.9</v>
      </c>
      <c r="F47" s="3">
        <v>268041.2</v>
      </c>
      <c r="G47" s="3">
        <v>-1294.0999999999999</v>
      </c>
      <c r="H47" s="3">
        <v>266834.5</v>
      </c>
      <c r="I47" s="3">
        <v>259678.3</v>
      </c>
      <c r="J47" s="3">
        <v>266834.5</v>
      </c>
      <c r="K47" s="7">
        <f t="shared" ref="K47:L47" si="47">(SUM(I44:I47)-SUM(I40:I43))/SUM(I40:I43)*100</f>
        <v>6.2972836390152702</v>
      </c>
      <c r="L47" s="7">
        <f t="shared" si="47"/>
        <v>4.9342456827365364</v>
      </c>
      <c r="M47" s="10"/>
    </row>
    <row r="48" spans="1:13" x14ac:dyDescent="0.3">
      <c r="A48" s="2" t="s">
        <v>47</v>
      </c>
      <c r="B48" s="3">
        <v>238192</v>
      </c>
      <c r="C48" s="3">
        <v>24678.2</v>
      </c>
      <c r="D48" s="3">
        <v>262985.59999999998</v>
      </c>
      <c r="E48" s="3">
        <v>7818.1</v>
      </c>
      <c r="F48" s="3">
        <v>270803.7</v>
      </c>
      <c r="G48" s="3">
        <v>-1892.3</v>
      </c>
      <c r="H48" s="3">
        <v>269017.59999999998</v>
      </c>
      <c r="I48" s="3">
        <v>262985.59999999998</v>
      </c>
      <c r="J48" s="3">
        <v>269017.59999999998</v>
      </c>
      <c r="K48" s="7">
        <f t="shared" ref="K48:L48" si="48">(SUM(I45:I48)-SUM(I41:I44))/SUM(I41:I44)*100</f>
        <v>4.8720012091572729</v>
      </c>
      <c r="L48" s="7">
        <f t="shared" si="48"/>
        <v>3.5167057433442137</v>
      </c>
      <c r="M48" s="10"/>
    </row>
    <row r="49" spans="1:13" x14ac:dyDescent="0.3">
      <c r="A49" s="2" t="s">
        <v>48</v>
      </c>
      <c r="B49" s="3">
        <v>242174.3</v>
      </c>
      <c r="C49" s="3">
        <v>24699.200000000001</v>
      </c>
      <c r="D49" s="3">
        <v>266982.90000000002</v>
      </c>
      <c r="E49" s="3">
        <v>7469.8</v>
      </c>
      <c r="F49" s="3">
        <v>274452.8</v>
      </c>
      <c r="G49" s="3">
        <v>-1825.1</v>
      </c>
      <c r="H49" s="3">
        <v>272731.8</v>
      </c>
      <c r="I49" s="3">
        <v>266982.90000000002</v>
      </c>
      <c r="J49" s="3">
        <v>272731.8</v>
      </c>
      <c r="K49" s="7">
        <f t="shared" ref="K49:L49" si="49">(SUM(I46:I49)-SUM(I42:I45))/SUM(I42:I45)*100</f>
        <v>4.7259251126827797</v>
      </c>
      <c r="L49" s="7">
        <f t="shared" si="49"/>
        <v>3.8618428207987332</v>
      </c>
      <c r="M49" s="10"/>
    </row>
    <row r="50" spans="1:13" x14ac:dyDescent="0.3">
      <c r="A50" s="2" t="s">
        <v>49</v>
      </c>
      <c r="B50" s="3">
        <v>249166.7</v>
      </c>
      <c r="C50" s="3">
        <v>25158.1</v>
      </c>
      <c r="D50" s="3">
        <v>274419.90000000002</v>
      </c>
      <c r="E50" s="3">
        <v>13591</v>
      </c>
      <c r="F50" s="3">
        <v>288010.90000000002</v>
      </c>
      <c r="G50" s="3">
        <v>-1441.1</v>
      </c>
      <c r="H50" s="3">
        <v>286667.8</v>
      </c>
      <c r="I50" s="3">
        <v>274419.90000000002</v>
      </c>
      <c r="J50" s="3">
        <v>286667.8</v>
      </c>
      <c r="K50" s="7">
        <f t="shared" ref="K50:L50" si="50">(SUM(I47:I50)-SUM(I43:I46))/SUM(I43:I46)*100</f>
        <v>5.2971643093884335</v>
      </c>
      <c r="L50" s="7">
        <f t="shared" si="50"/>
        <v>4.913688808425646</v>
      </c>
      <c r="M50" s="10"/>
    </row>
    <row r="51" spans="1:13" x14ac:dyDescent="0.3">
      <c r="A51" s="2" t="s">
        <v>50</v>
      </c>
      <c r="B51" s="3">
        <v>254230.8</v>
      </c>
      <c r="C51" s="3">
        <v>25333</v>
      </c>
      <c r="D51" s="3">
        <v>279643.7</v>
      </c>
      <c r="E51" s="3">
        <v>10816.3</v>
      </c>
      <c r="F51" s="3">
        <v>290460</v>
      </c>
      <c r="G51" s="3">
        <v>-1645.9</v>
      </c>
      <c r="H51" s="3">
        <v>288918.3</v>
      </c>
      <c r="I51" s="3">
        <v>279643.7</v>
      </c>
      <c r="J51" s="3">
        <v>288918.3</v>
      </c>
      <c r="K51" s="7">
        <f t="shared" ref="K51:L51" si="51">(SUM(I48:I51)-SUM(I44:I47))/SUM(I44:I47)*100</f>
        <v>5.977460122028849</v>
      </c>
      <c r="L51" s="7">
        <f t="shared" si="51"/>
        <v>5.9595995038369187</v>
      </c>
      <c r="M51" s="10"/>
    </row>
    <row r="52" spans="1:13" x14ac:dyDescent="0.3">
      <c r="A52" s="2" t="s">
        <v>51</v>
      </c>
      <c r="B52" s="3">
        <v>258853</v>
      </c>
      <c r="C52" s="3">
        <v>25897.9</v>
      </c>
      <c r="D52" s="3">
        <v>284837.5</v>
      </c>
      <c r="E52" s="3">
        <v>11217.3</v>
      </c>
      <c r="F52" s="3">
        <v>296054.8</v>
      </c>
      <c r="G52" s="3">
        <v>-321.3</v>
      </c>
      <c r="H52" s="3">
        <v>295800.3</v>
      </c>
      <c r="I52" s="3">
        <v>284837.5</v>
      </c>
      <c r="J52" s="3">
        <v>295800.3</v>
      </c>
      <c r="K52" s="7">
        <f t="shared" ref="K52:L52" si="52">(SUM(I49:I52)-SUM(I45:I48))/SUM(I45:I48)*100</f>
        <v>7.1844678261184818</v>
      </c>
      <c r="L52" s="7">
        <f t="shared" si="52"/>
        <v>7.8928071223019689</v>
      </c>
      <c r="M52" s="10"/>
    </row>
    <row r="53" spans="1:13" x14ac:dyDescent="0.3">
      <c r="A53" s="2" t="s">
        <v>52</v>
      </c>
      <c r="B53" s="3">
        <v>261316.9</v>
      </c>
      <c r="C53" s="3">
        <v>26124.2</v>
      </c>
      <c r="D53" s="3">
        <v>287527.5</v>
      </c>
      <c r="E53" s="3">
        <v>9305.7000000000007</v>
      </c>
      <c r="F53" s="3">
        <v>296833.2</v>
      </c>
      <c r="G53" s="3">
        <v>-858.2</v>
      </c>
      <c r="H53" s="3">
        <v>296056.59999999998</v>
      </c>
      <c r="I53" s="3">
        <v>287527.5</v>
      </c>
      <c r="J53" s="3">
        <v>296056.59999999998</v>
      </c>
      <c r="K53" s="7">
        <f t="shared" ref="K53:L53" si="53">(SUM(I50:I53)-SUM(I46:I49))/SUM(I46:I49)*100</f>
        <v>7.7439989531956908</v>
      </c>
      <c r="L53" s="7">
        <f t="shared" si="53"/>
        <v>8.7647522017669335</v>
      </c>
      <c r="M53" s="10"/>
    </row>
    <row r="54" spans="1:13" x14ac:dyDescent="0.3">
      <c r="A54" s="2" t="s">
        <v>53</v>
      </c>
      <c r="B54" s="3">
        <v>260076.9</v>
      </c>
      <c r="C54" s="3">
        <v>25838.1</v>
      </c>
      <c r="D54" s="3">
        <v>285982.5</v>
      </c>
      <c r="E54" s="3">
        <v>9177.5</v>
      </c>
      <c r="F54" s="3">
        <v>295159.90000000002</v>
      </c>
      <c r="G54" s="3">
        <v>-1088.5999999999999</v>
      </c>
      <c r="H54" s="3">
        <v>294159.3</v>
      </c>
      <c r="I54" s="3">
        <v>285982.5</v>
      </c>
      <c r="J54" s="3">
        <v>294159.3</v>
      </c>
      <c r="K54" s="7">
        <f t="shared" ref="K54:L54" si="54">(SUM(I51:I54)-SUM(I47:I50))/SUM(I47:I50)*100</f>
        <v>6.9473558377496216</v>
      </c>
      <c r="L54" s="7">
        <f t="shared" si="54"/>
        <v>7.2752957151310564</v>
      </c>
      <c r="M54" s="10"/>
    </row>
    <row r="55" spans="1:13" x14ac:dyDescent="0.3">
      <c r="A55" s="2" t="s">
        <v>54</v>
      </c>
      <c r="B55" s="3">
        <v>260311.8</v>
      </c>
      <c r="C55" s="3">
        <v>25798.5</v>
      </c>
      <c r="D55" s="3">
        <v>286171.59999999998</v>
      </c>
      <c r="E55" s="3">
        <v>9872.1</v>
      </c>
      <c r="F55" s="3">
        <v>296043.7</v>
      </c>
      <c r="G55" s="3">
        <v>-1703.9</v>
      </c>
      <c r="H55" s="3">
        <v>294443.7</v>
      </c>
      <c r="I55" s="3">
        <v>286171.59999999998</v>
      </c>
      <c r="J55" s="3">
        <v>294443.7</v>
      </c>
      <c r="K55" s="7">
        <f t="shared" ref="K55:L55" si="55">(SUM(I52:I55)-SUM(I48:I51))/SUM(I48:I51)*100</f>
        <v>5.579816317247432</v>
      </c>
      <c r="L55" s="7">
        <f t="shared" si="55"/>
        <v>5.6495475172855336</v>
      </c>
      <c r="M55" s="10"/>
    </row>
    <row r="56" spans="1:13" x14ac:dyDescent="0.3">
      <c r="A56" s="2" t="s">
        <v>55</v>
      </c>
      <c r="B56" s="3">
        <v>264556.7</v>
      </c>
      <c r="C56" s="3">
        <v>26136.9</v>
      </c>
      <c r="D56" s="3">
        <v>290747.7</v>
      </c>
      <c r="E56" s="3">
        <v>10532.4</v>
      </c>
      <c r="F56" s="3">
        <v>301280.09999999998</v>
      </c>
      <c r="G56" s="3">
        <v>-818.9</v>
      </c>
      <c r="H56" s="3">
        <v>300545.7</v>
      </c>
      <c r="I56" s="3">
        <v>290747.7</v>
      </c>
      <c r="J56" s="3">
        <v>300545.7</v>
      </c>
      <c r="K56" s="7">
        <f t="shared" ref="K56:L56" si="56">(SUM(I53:I56)-SUM(I49:I52))/SUM(I49:I52)*100</f>
        <v>4.0280264476201886</v>
      </c>
      <c r="L56" s="7">
        <f t="shared" si="56"/>
        <v>3.5911586757382117</v>
      </c>
      <c r="M56" s="10"/>
    </row>
    <row r="57" spans="1:13" x14ac:dyDescent="0.3">
      <c r="A57" s="2" t="s">
        <v>56</v>
      </c>
      <c r="B57" s="3">
        <v>271368.2</v>
      </c>
      <c r="C57" s="3">
        <v>26744.3</v>
      </c>
      <c r="D57" s="3">
        <v>298161.40000000002</v>
      </c>
      <c r="E57" s="3">
        <v>11576.8</v>
      </c>
      <c r="F57" s="3">
        <v>309738.3</v>
      </c>
      <c r="G57" s="3">
        <v>-482.9</v>
      </c>
      <c r="H57" s="3">
        <v>309332.7</v>
      </c>
      <c r="I57" s="3">
        <v>298161.40000000002</v>
      </c>
      <c r="J57" s="3">
        <v>309332.7</v>
      </c>
      <c r="K57" s="7">
        <f t="shared" ref="K57:L57" si="57">(SUM(I54:I57)-SUM(I50:I53))/SUM(I50:I53)*100</f>
        <v>3.0747266182694659</v>
      </c>
      <c r="L57" s="7">
        <f t="shared" si="57"/>
        <v>2.6586651339722716</v>
      </c>
      <c r="M57" s="10"/>
    </row>
    <row r="58" spans="1:13" x14ac:dyDescent="0.3">
      <c r="A58" s="2" t="s">
        <v>57</v>
      </c>
      <c r="B58" s="3">
        <v>275018.8</v>
      </c>
      <c r="C58" s="3">
        <v>27317</v>
      </c>
      <c r="D58" s="3">
        <v>302404.3</v>
      </c>
      <c r="E58" s="3">
        <v>7780.1</v>
      </c>
      <c r="F58" s="3">
        <v>310184.40000000002</v>
      </c>
      <c r="G58" s="3">
        <v>-582.79999999999995</v>
      </c>
      <c r="H58" s="3">
        <v>309678</v>
      </c>
      <c r="I58" s="3">
        <v>302404.3</v>
      </c>
      <c r="J58" s="3">
        <v>309678</v>
      </c>
      <c r="K58" s="7">
        <f t="shared" ref="K58:L58" si="58">(SUM(I55:I58)-SUM(I51:I54))/SUM(I51:I54)*100</f>
        <v>3.4704837787849372</v>
      </c>
      <c r="L58" s="7">
        <f t="shared" si="58"/>
        <v>3.3249172613452149</v>
      </c>
      <c r="M58" s="10"/>
    </row>
    <row r="59" spans="1:13" x14ac:dyDescent="0.3">
      <c r="A59" s="2" t="s">
        <v>58</v>
      </c>
      <c r="B59" s="3">
        <v>277560.5</v>
      </c>
      <c r="C59" s="3">
        <v>27316.1</v>
      </c>
      <c r="D59" s="3">
        <v>304926.09999999998</v>
      </c>
      <c r="E59" s="3">
        <v>6605.4</v>
      </c>
      <c r="F59" s="3">
        <v>311531.59999999998</v>
      </c>
      <c r="G59" s="3">
        <v>-1350.8</v>
      </c>
      <c r="H59" s="3">
        <v>310278.09999999998</v>
      </c>
      <c r="I59" s="3">
        <v>304926.09999999998</v>
      </c>
      <c r="J59" s="3">
        <v>310278.09999999998</v>
      </c>
      <c r="K59" s="7">
        <f t="shared" ref="K59:L59" si="59">(SUM(I56:I59)-SUM(I52:I55))/SUM(I52:I55)*100</f>
        <v>4.5189634668394696</v>
      </c>
      <c r="L59" s="7">
        <f t="shared" si="59"/>
        <v>4.1826579623755196</v>
      </c>
      <c r="M59" s="10"/>
    </row>
    <row r="60" spans="1:13" x14ac:dyDescent="0.3">
      <c r="A60" s="2" t="s">
        <v>59</v>
      </c>
      <c r="B60" s="3">
        <v>278558.90000000002</v>
      </c>
      <c r="C60" s="3">
        <v>27120.3</v>
      </c>
      <c r="D60" s="3">
        <v>305706.2</v>
      </c>
      <c r="E60" s="3">
        <v>6656.7</v>
      </c>
      <c r="F60" s="3">
        <v>312363</v>
      </c>
      <c r="G60" s="3">
        <v>-769.5</v>
      </c>
      <c r="H60" s="3">
        <v>311673.7</v>
      </c>
      <c r="I60" s="3">
        <v>305706.2</v>
      </c>
      <c r="J60" s="3">
        <v>311673.7</v>
      </c>
      <c r="K60" s="7">
        <f t="shared" ref="K60:L60" si="60">(SUM(I57:I60)-SUM(I53:I56))/SUM(I53:I56)*100</f>
        <v>5.2822628909051561</v>
      </c>
      <c r="L60" s="7">
        <f t="shared" si="60"/>
        <v>4.7044339069358028</v>
      </c>
      <c r="M60" s="10"/>
    </row>
    <row r="61" spans="1:13" x14ac:dyDescent="0.3">
      <c r="A61" s="2" t="s">
        <v>60</v>
      </c>
      <c r="B61" s="3">
        <v>280743.90000000002</v>
      </c>
      <c r="C61" s="3">
        <v>27433</v>
      </c>
      <c r="D61" s="3">
        <v>308211.90000000002</v>
      </c>
      <c r="E61" s="3">
        <v>8360.6</v>
      </c>
      <c r="F61" s="3">
        <v>316572.5</v>
      </c>
      <c r="G61" s="3">
        <v>543.9</v>
      </c>
      <c r="H61" s="3">
        <v>317166.8</v>
      </c>
      <c r="I61" s="3">
        <v>308211.90000000002</v>
      </c>
      <c r="J61" s="3">
        <v>317166.8</v>
      </c>
      <c r="K61" s="7">
        <f t="shared" ref="K61:L61" si="61">(SUM(I58:I61)-SUM(I54:I57))/SUM(I54:I57)*100</f>
        <v>5.1836368597333724</v>
      </c>
      <c r="L61" s="7">
        <f t="shared" si="61"/>
        <v>4.1982462139170611</v>
      </c>
      <c r="M61" s="10"/>
    </row>
    <row r="62" spans="1:13" x14ac:dyDescent="0.3">
      <c r="A62" s="2" t="s">
        <v>61</v>
      </c>
      <c r="B62" s="3">
        <v>283321.09999999998</v>
      </c>
      <c r="C62" s="3">
        <v>27729.4</v>
      </c>
      <c r="D62" s="3">
        <v>311097.09999999998</v>
      </c>
      <c r="E62" s="3">
        <v>7081.6</v>
      </c>
      <c r="F62" s="3">
        <v>318178.7</v>
      </c>
      <c r="G62" s="3">
        <v>-771.5</v>
      </c>
      <c r="H62" s="3">
        <v>317492.2</v>
      </c>
      <c r="I62" s="3">
        <v>311097.09999999998</v>
      </c>
      <c r="J62" s="3">
        <v>317492.2</v>
      </c>
      <c r="K62" s="7">
        <f t="shared" ref="K62:L62" si="62">(SUM(I59:I62)-SUM(I55:I58))/SUM(I55:I58)*100</f>
        <v>4.4549442243425643</v>
      </c>
      <c r="L62" s="7">
        <f t="shared" si="62"/>
        <v>3.5099420502518868</v>
      </c>
      <c r="M62" s="10"/>
    </row>
    <row r="63" spans="1:13" x14ac:dyDescent="0.3">
      <c r="A63" s="2" t="s">
        <v>62</v>
      </c>
      <c r="B63" s="3">
        <v>288322.40000000002</v>
      </c>
      <c r="C63" s="3">
        <v>28562.9</v>
      </c>
      <c r="D63" s="3">
        <v>316930.09999999998</v>
      </c>
      <c r="E63" s="3">
        <v>4539.3</v>
      </c>
      <c r="F63" s="3">
        <v>321469.40000000002</v>
      </c>
      <c r="G63" s="3">
        <v>-2038</v>
      </c>
      <c r="H63" s="3">
        <v>319559.8</v>
      </c>
      <c r="I63" s="3">
        <v>316930.09999999998</v>
      </c>
      <c r="J63" s="3">
        <v>319559.8</v>
      </c>
      <c r="K63" s="7">
        <f t="shared" ref="K63:L63" si="63">(SUM(I60:I63)-SUM(I56:I59))/SUM(I56:I59)*100</f>
        <v>3.8207900675408268</v>
      </c>
      <c r="L63" s="7">
        <f t="shared" si="63"/>
        <v>2.931939216211612</v>
      </c>
      <c r="M63" s="10"/>
    </row>
    <row r="64" spans="1:13" x14ac:dyDescent="0.3">
      <c r="A64" s="2" t="s">
        <v>63</v>
      </c>
      <c r="B64" s="3">
        <v>292623.8</v>
      </c>
      <c r="C64" s="3">
        <v>28708</v>
      </c>
      <c r="D64" s="3">
        <v>321379.3</v>
      </c>
      <c r="E64" s="3">
        <v>2515.5</v>
      </c>
      <c r="F64" s="3">
        <v>323894.8</v>
      </c>
      <c r="G64" s="3">
        <v>-3545.4</v>
      </c>
      <c r="H64" s="3">
        <v>320529.09999999998</v>
      </c>
      <c r="I64" s="3">
        <v>321379.3</v>
      </c>
      <c r="J64" s="3">
        <v>320529.09999999998</v>
      </c>
      <c r="K64" s="7">
        <f t="shared" ref="K64:L64" si="64">(SUM(I61:I64)-SUM(I57:I60))/SUM(I57:I60)*100</f>
        <v>3.8326021013905165</v>
      </c>
      <c r="L64" s="7">
        <f t="shared" si="64"/>
        <v>2.7225157891555876</v>
      </c>
      <c r="M64" s="10"/>
    </row>
    <row r="65" spans="1:13" x14ac:dyDescent="0.3">
      <c r="A65" s="2" t="s">
        <v>64</v>
      </c>
      <c r="B65" s="3">
        <v>296109.59999999998</v>
      </c>
      <c r="C65" s="3">
        <v>28908</v>
      </c>
      <c r="D65" s="3">
        <v>325066.90000000002</v>
      </c>
      <c r="E65" s="3">
        <v>2323.4</v>
      </c>
      <c r="F65" s="3">
        <v>327390.3</v>
      </c>
      <c r="G65" s="3">
        <v>-2692.7</v>
      </c>
      <c r="H65" s="3">
        <v>324849.09999999998</v>
      </c>
      <c r="I65" s="3">
        <v>325066.90000000002</v>
      </c>
      <c r="J65" s="3">
        <v>324849.09999999998</v>
      </c>
      <c r="K65" s="7">
        <f t="shared" ref="K65:L65" si="65">(SUM(I62:I65)-SUM(I58:I61))/SUM(I58:I61)*100</f>
        <v>4.3582366733715459</v>
      </c>
      <c r="L65" s="7">
        <f t="shared" si="65"/>
        <v>2.6932808753643194</v>
      </c>
      <c r="M65" s="10"/>
    </row>
    <row r="66" spans="1:13" x14ac:dyDescent="0.3">
      <c r="A66" s="2" t="s">
        <v>65</v>
      </c>
      <c r="B66" s="3">
        <v>300558</v>
      </c>
      <c r="C66" s="3">
        <v>29626.799999999999</v>
      </c>
      <c r="D66" s="3">
        <v>330234.40000000002</v>
      </c>
      <c r="E66" s="3">
        <v>-1742.1</v>
      </c>
      <c r="F66" s="3">
        <v>328492.2</v>
      </c>
      <c r="G66" s="3">
        <v>-1988.6</v>
      </c>
      <c r="H66" s="3">
        <v>326632.09999999998</v>
      </c>
      <c r="I66" s="3">
        <v>330234.40000000002</v>
      </c>
      <c r="J66" s="3">
        <v>326632.09999999998</v>
      </c>
      <c r="K66" s="7">
        <f t="shared" ref="K66:L66" si="66">(SUM(I63:I66)-SUM(I59:I62))/SUM(I59:I62)*100</f>
        <v>5.1766210306134042</v>
      </c>
      <c r="L66" s="7">
        <f t="shared" si="66"/>
        <v>2.7820308404161267</v>
      </c>
      <c r="M66" s="10"/>
    </row>
    <row r="67" spans="1:13" x14ac:dyDescent="0.3">
      <c r="A67" s="2" t="s">
        <v>66</v>
      </c>
      <c r="B67" s="3">
        <v>303306.59999999998</v>
      </c>
      <c r="C67" s="3">
        <v>29265.4</v>
      </c>
      <c r="D67" s="3">
        <v>332617.8</v>
      </c>
      <c r="E67" s="3">
        <v>-2433.1999999999998</v>
      </c>
      <c r="F67" s="3">
        <v>330184.7</v>
      </c>
      <c r="G67" s="3">
        <v>-1121</v>
      </c>
      <c r="H67" s="3">
        <v>329164.7</v>
      </c>
      <c r="I67" s="3">
        <v>332617.8</v>
      </c>
      <c r="J67" s="3">
        <v>329164.7</v>
      </c>
      <c r="K67" s="7">
        <f t="shared" ref="K67:L67" si="67">(SUM(I64:I67)-SUM(I60:I63))/SUM(I60:I63)*100</f>
        <v>5.4231937590165895</v>
      </c>
      <c r="L67" s="7">
        <f t="shared" si="67"/>
        <v>2.7871639969428683</v>
      </c>
      <c r="M67" s="10"/>
    </row>
    <row r="68" spans="1:13" x14ac:dyDescent="0.3">
      <c r="A68" s="2" t="s">
        <v>67</v>
      </c>
      <c r="B68" s="3">
        <v>307712.09999999998</v>
      </c>
      <c r="C68" s="3">
        <v>30069.7</v>
      </c>
      <c r="D68" s="3">
        <v>337830.8</v>
      </c>
      <c r="E68" s="3">
        <v>-1796.1</v>
      </c>
      <c r="F68" s="3">
        <v>336034.7</v>
      </c>
      <c r="G68" s="3">
        <v>-392.7</v>
      </c>
      <c r="H68" s="3">
        <v>335720.9</v>
      </c>
      <c r="I68" s="3">
        <v>337830.8</v>
      </c>
      <c r="J68" s="3">
        <v>335720.9</v>
      </c>
      <c r="K68" s="7">
        <f t="shared" ref="K68:L68" si="68">(SUM(I65:I68)-SUM(I61:I64))/SUM(I61:I64)*100</f>
        <v>5.4175018431664359</v>
      </c>
      <c r="L68" s="7">
        <f t="shared" si="68"/>
        <v>3.2648729995946577</v>
      </c>
      <c r="M68" s="10"/>
    </row>
    <row r="69" spans="1:13" x14ac:dyDescent="0.3">
      <c r="A69" s="2" t="s">
        <v>68</v>
      </c>
      <c r="B69" s="3">
        <v>310482.7</v>
      </c>
      <c r="C69" s="3">
        <v>30105.9</v>
      </c>
      <c r="D69" s="3">
        <v>340636.5</v>
      </c>
      <c r="E69" s="3">
        <v>1269.0999999999999</v>
      </c>
      <c r="F69" s="3">
        <v>341905.7</v>
      </c>
      <c r="G69" s="3">
        <v>-414</v>
      </c>
      <c r="H69" s="3">
        <v>341572.6</v>
      </c>
      <c r="I69" s="3">
        <v>340636.5</v>
      </c>
      <c r="J69" s="3">
        <v>341572.6</v>
      </c>
      <c r="K69" s="7">
        <f t="shared" ref="K69:L69" si="69">(SUM(I66:I69)-SUM(I62:I65))/SUM(I62:I65)*100</f>
        <v>5.2449976594254615</v>
      </c>
      <c r="L69" s="7">
        <f t="shared" si="69"/>
        <v>3.9503202591454958</v>
      </c>
      <c r="M69" s="10"/>
    </row>
    <row r="70" spans="1:13" x14ac:dyDescent="0.3">
      <c r="A70" s="2" t="s">
        <v>69</v>
      </c>
      <c r="B70" s="3">
        <v>316900.3</v>
      </c>
      <c r="C70" s="3">
        <v>29731.7</v>
      </c>
      <c r="D70" s="3">
        <v>346675</v>
      </c>
      <c r="E70" s="3">
        <v>-1881.4</v>
      </c>
      <c r="F70" s="3">
        <v>344793.5</v>
      </c>
      <c r="G70" s="3">
        <v>-2056.1999999999998</v>
      </c>
      <c r="H70" s="3">
        <v>342873.59999999998</v>
      </c>
      <c r="I70" s="3">
        <v>346675</v>
      </c>
      <c r="J70" s="3">
        <v>342873.59999999998</v>
      </c>
      <c r="K70" s="7">
        <f t="shared" ref="K70:L70" si="70">(SUM(I67:I70)-SUM(I63:I66))/SUM(I63:I66)*100</f>
        <v>4.9589416661442387</v>
      </c>
      <c r="L70" s="7">
        <f t="shared" si="70"/>
        <v>4.4722078964200396</v>
      </c>
      <c r="M70" s="10"/>
    </row>
    <row r="71" spans="1:13" x14ac:dyDescent="0.3">
      <c r="A71" s="2" t="s">
        <v>70</v>
      </c>
      <c r="B71" s="3">
        <v>321884.7</v>
      </c>
      <c r="C71" s="3">
        <v>30612.799999999999</v>
      </c>
      <c r="D71" s="3">
        <v>352543.6</v>
      </c>
      <c r="E71" s="3">
        <v>-2314.6999999999998</v>
      </c>
      <c r="F71" s="3">
        <v>350228.9</v>
      </c>
      <c r="G71" s="3">
        <v>-1044.5999999999999</v>
      </c>
      <c r="H71" s="3">
        <v>349288</v>
      </c>
      <c r="I71" s="3">
        <v>352543.6</v>
      </c>
      <c r="J71" s="3">
        <v>349288</v>
      </c>
      <c r="K71" s="7">
        <f t="shared" ref="K71:L71" si="71">(SUM(I68:I71)-SUM(I64:I67))/SUM(I64:I67)*100</f>
        <v>5.223217258953345</v>
      </c>
      <c r="L71" s="7">
        <f t="shared" si="71"/>
        <v>5.2475723864968273</v>
      </c>
      <c r="M71" s="10"/>
    </row>
    <row r="72" spans="1:13" x14ac:dyDescent="0.3">
      <c r="A72" s="2" t="s">
        <v>71</v>
      </c>
      <c r="B72" s="3">
        <v>326419.90000000002</v>
      </c>
      <c r="C72" s="3">
        <v>30256.3</v>
      </c>
      <c r="D72" s="3">
        <v>356718.2</v>
      </c>
      <c r="E72" s="3">
        <v>-526.20000000000005</v>
      </c>
      <c r="F72" s="3">
        <v>356192</v>
      </c>
      <c r="G72" s="3">
        <v>613.20000000000005</v>
      </c>
      <c r="H72" s="3">
        <v>356855</v>
      </c>
      <c r="I72" s="3">
        <v>356718.2</v>
      </c>
      <c r="J72" s="3">
        <v>356855</v>
      </c>
      <c r="K72" s="7">
        <f t="shared" ref="K72:L72" si="72">(SUM(I69:I72)-SUM(I65:I68))/SUM(I65:I68)*100</f>
        <v>5.3421388151716922</v>
      </c>
      <c r="L72" s="7">
        <f t="shared" si="72"/>
        <v>5.6384284380311138</v>
      </c>
      <c r="M72" s="10"/>
    </row>
    <row r="73" spans="1:13" x14ac:dyDescent="0.3">
      <c r="A73" s="2" t="s">
        <v>72</v>
      </c>
      <c r="B73" s="3">
        <v>332452.5</v>
      </c>
      <c r="C73" s="3">
        <v>31244.400000000001</v>
      </c>
      <c r="D73" s="3">
        <v>363742.3</v>
      </c>
      <c r="E73" s="3">
        <v>-4499.7</v>
      </c>
      <c r="F73" s="3">
        <v>359242.5</v>
      </c>
      <c r="G73" s="3">
        <v>-1135.7</v>
      </c>
      <c r="H73" s="3">
        <v>358216.1</v>
      </c>
      <c r="I73" s="3">
        <v>363742.3</v>
      </c>
      <c r="J73" s="3">
        <v>358216.1</v>
      </c>
      <c r="K73" s="7">
        <f t="shared" ref="K73:L73" si="73">(SUM(I70:I73)-SUM(I66:I69))/SUM(I66:I69)*100</f>
        <v>5.8419787381008099</v>
      </c>
      <c r="L73" s="7">
        <f t="shared" si="73"/>
        <v>5.5616937577297003</v>
      </c>
      <c r="M73" s="10"/>
    </row>
    <row r="74" spans="1:13" x14ac:dyDescent="0.3">
      <c r="A74" s="2" t="s">
        <v>73</v>
      </c>
      <c r="B74" s="3">
        <v>336235.7</v>
      </c>
      <c r="C74" s="3">
        <v>30240.3</v>
      </c>
      <c r="D74" s="3">
        <v>366484.8</v>
      </c>
      <c r="E74" s="3">
        <v>-9293.2000000000007</v>
      </c>
      <c r="F74" s="3">
        <v>357191.6</v>
      </c>
      <c r="G74" s="3">
        <v>861.4</v>
      </c>
      <c r="H74" s="3">
        <v>358082.3</v>
      </c>
      <c r="I74" s="3">
        <v>366484.8</v>
      </c>
      <c r="J74" s="3">
        <v>358082.3</v>
      </c>
      <c r="K74" s="7">
        <f t="shared" ref="K74:L74" si="74">(SUM(I71:I74)-SUM(I67:I70))/SUM(I67:I70)*100</f>
        <v>6.0193844258643363</v>
      </c>
      <c r="L74" s="7">
        <f t="shared" si="74"/>
        <v>5.4182077380819225</v>
      </c>
      <c r="M74" s="10"/>
    </row>
    <row r="75" spans="1:13" x14ac:dyDescent="0.3">
      <c r="A75" s="2" t="s">
        <v>74</v>
      </c>
      <c r="B75" s="3">
        <v>337461.1</v>
      </c>
      <c r="C75" s="3">
        <v>30349</v>
      </c>
      <c r="D75" s="3">
        <v>367818.8</v>
      </c>
      <c r="E75" s="3">
        <v>-11528.6</v>
      </c>
      <c r="F75" s="3">
        <v>356290.2</v>
      </c>
      <c r="G75" s="3">
        <v>-641.6</v>
      </c>
      <c r="H75" s="3">
        <v>355739</v>
      </c>
      <c r="I75" s="3">
        <v>367818.8</v>
      </c>
      <c r="J75" s="3">
        <v>355739</v>
      </c>
      <c r="K75" s="7">
        <f t="shared" ref="K75:L75" si="75">(SUM(I72:I75)-SUM(I68:I71))/SUM(I68:I71)*100</f>
        <v>5.5947585730535669</v>
      </c>
      <c r="L75" s="7">
        <f t="shared" si="75"/>
        <v>4.3402153162962271</v>
      </c>
      <c r="M75" s="10"/>
    </row>
    <row r="76" spans="1:13" x14ac:dyDescent="0.3">
      <c r="A76" s="2" t="s">
        <v>75</v>
      </c>
      <c r="B76" s="3">
        <v>339675.3</v>
      </c>
      <c r="C76" s="3">
        <v>30575.1</v>
      </c>
      <c r="D76" s="3">
        <v>370260.1</v>
      </c>
      <c r="E76" s="3">
        <v>-14831.1</v>
      </c>
      <c r="F76" s="3">
        <v>355428.9</v>
      </c>
      <c r="G76" s="3">
        <v>-1851.9</v>
      </c>
      <c r="H76" s="3">
        <v>353716.2</v>
      </c>
      <c r="I76" s="3">
        <v>370260.1</v>
      </c>
      <c r="J76" s="3">
        <v>353716.2</v>
      </c>
      <c r="K76" s="7">
        <f t="shared" ref="K76:L76" si="76">(SUM(I73:I76)-SUM(I69:I72))/SUM(I69:I72)*100</f>
        <v>5.1363362023318038</v>
      </c>
      <c r="L76" s="7">
        <f t="shared" si="76"/>
        <v>2.5287410545112752</v>
      </c>
      <c r="M76" s="10"/>
    </row>
    <row r="77" spans="1:13" x14ac:dyDescent="0.3">
      <c r="A77" s="2" t="s">
        <v>76</v>
      </c>
      <c r="B77" s="3">
        <v>327782.8</v>
      </c>
      <c r="C77" s="3">
        <v>29963.4</v>
      </c>
      <c r="D77" s="3">
        <v>357768.2</v>
      </c>
      <c r="E77" s="3">
        <v>-14313</v>
      </c>
      <c r="F77" s="3">
        <v>343455.2</v>
      </c>
      <c r="G77" s="3">
        <v>1827.8</v>
      </c>
      <c r="H77" s="3">
        <v>345272.4</v>
      </c>
      <c r="I77" s="3">
        <v>357768.2</v>
      </c>
      <c r="J77" s="3">
        <v>345272.4</v>
      </c>
      <c r="K77" s="7">
        <f t="shared" ref="K77:L77" si="77">(SUM(I74:I77)-SUM(I70:I73))/SUM(I70:I73)*100</f>
        <v>3.0043972613247467</v>
      </c>
      <c r="L77" s="7">
        <f t="shared" si="77"/>
        <v>0.39632393420077006</v>
      </c>
      <c r="M77" s="10"/>
    </row>
    <row r="78" spans="1:13" x14ac:dyDescent="0.3">
      <c r="A78" s="2" t="s">
        <v>77</v>
      </c>
      <c r="B78" s="3">
        <v>327555.20000000001</v>
      </c>
      <c r="C78" s="3">
        <v>31054.7</v>
      </c>
      <c r="D78" s="3">
        <v>358711.7</v>
      </c>
      <c r="E78" s="3">
        <v>-11777.8</v>
      </c>
      <c r="F78" s="3">
        <v>346934</v>
      </c>
      <c r="G78" s="3">
        <v>-1066.5</v>
      </c>
      <c r="H78" s="3">
        <v>345971.9</v>
      </c>
      <c r="I78" s="3">
        <v>358711.7</v>
      </c>
      <c r="J78" s="3">
        <v>345971.9</v>
      </c>
      <c r="K78" s="7">
        <f t="shared" ref="K78:L78" si="78">(SUM(I75:I78)-SUM(I71:I74))/SUM(I71:I74)*100</f>
        <v>1.0468924074370891</v>
      </c>
      <c r="L78" s="7">
        <f t="shared" si="78"/>
        <v>-1.5284917888357394</v>
      </c>
      <c r="M78" s="10"/>
    </row>
    <row r="79" spans="1:13" x14ac:dyDescent="0.3">
      <c r="A79" s="2" t="s">
        <v>78</v>
      </c>
      <c r="B79" s="3">
        <v>333357.8</v>
      </c>
      <c r="C79" s="3">
        <v>30186.2</v>
      </c>
      <c r="D79" s="3">
        <v>363561</v>
      </c>
      <c r="E79" s="3">
        <v>-954.9</v>
      </c>
      <c r="F79" s="3">
        <v>362606.1</v>
      </c>
      <c r="G79" s="3">
        <v>114</v>
      </c>
      <c r="H79" s="3">
        <v>362772.9</v>
      </c>
      <c r="I79" s="3">
        <v>363561</v>
      </c>
      <c r="J79" s="3">
        <v>362772.9</v>
      </c>
      <c r="K79" s="7">
        <f t="shared" ref="K79:L79" si="79">(SUM(I76:I79)-SUM(I72:I75))/SUM(I72:I75)*100</f>
        <v>-0.30679200840879239</v>
      </c>
      <c r="L79" s="7">
        <f t="shared" si="79"/>
        <v>-1.4807972944638637</v>
      </c>
      <c r="M79" s="10"/>
    </row>
    <row r="80" spans="1:13" x14ac:dyDescent="0.3">
      <c r="A80" s="2" t="s">
        <v>79</v>
      </c>
      <c r="B80" s="3">
        <v>344611.9</v>
      </c>
      <c r="C80" s="3">
        <v>30090.6</v>
      </c>
      <c r="D80" s="3">
        <v>374652</v>
      </c>
      <c r="E80" s="3">
        <v>-5263.5</v>
      </c>
      <c r="F80" s="3">
        <v>369388.5</v>
      </c>
      <c r="G80" s="3">
        <v>-388.4</v>
      </c>
      <c r="H80" s="3">
        <v>369074.2</v>
      </c>
      <c r="I80" s="3">
        <v>374652</v>
      </c>
      <c r="J80" s="3">
        <v>369074.2</v>
      </c>
      <c r="K80" s="7">
        <f t="shared" ref="K80:L80" si="80">(SUM(I77:I80)-SUM(I73:I76))/SUM(I73:I76)*100</f>
        <v>-0.92712963101697421</v>
      </c>
      <c r="L80" s="7">
        <f t="shared" si="80"/>
        <v>-0.18672230601414724</v>
      </c>
      <c r="M80" s="10"/>
    </row>
    <row r="81" spans="1:13" x14ac:dyDescent="0.3">
      <c r="A81" s="2" t="s">
        <v>80</v>
      </c>
      <c r="B81" s="3">
        <v>347327.6</v>
      </c>
      <c r="C81" s="3">
        <v>30131.5</v>
      </c>
      <c r="D81" s="3">
        <v>377396.3</v>
      </c>
      <c r="E81" s="3">
        <v>-4978</v>
      </c>
      <c r="F81" s="3">
        <v>372418.3</v>
      </c>
      <c r="G81" s="3">
        <v>-760.9</v>
      </c>
      <c r="H81" s="3">
        <v>371750.8</v>
      </c>
      <c r="I81" s="3">
        <v>377396.3</v>
      </c>
      <c r="J81" s="3">
        <v>371750.8</v>
      </c>
      <c r="K81" s="7">
        <f t="shared" ref="K81:L81" si="81">(SUM(I78:I81)-SUM(I74:I77))/SUM(I74:I77)*100</f>
        <v>0.81986175641795778</v>
      </c>
      <c r="L81" s="7">
        <f t="shared" si="81"/>
        <v>2.6018999442175583</v>
      </c>
      <c r="M81" s="10"/>
    </row>
    <row r="82" spans="1:13" x14ac:dyDescent="0.3">
      <c r="A82" s="2" t="s">
        <v>81</v>
      </c>
      <c r="B82" s="3">
        <v>354510.9</v>
      </c>
      <c r="C82" s="3">
        <v>31729.3</v>
      </c>
      <c r="D82" s="3">
        <v>386238.5</v>
      </c>
      <c r="E82" s="3">
        <v>-5276.9</v>
      </c>
      <c r="F82" s="3">
        <v>380961.6</v>
      </c>
      <c r="G82" s="3">
        <v>1723.6</v>
      </c>
      <c r="H82" s="3">
        <v>382709.9</v>
      </c>
      <c r="I82" s="3">
        <v>386238.5</v>
      </c>
      <c r="J82" s="3">
        <v>382709.9</v>
      </c>
      <c r="K82" s="7">
        <f t="shared" ref="K82:L82" si="82">(SUM(I79:I82)-SUM(I75:I78))/SUM(I75:I78)*100</f>
        <v>3.2510889212591638</v>
      </c>
      <c r="L82" s="7">
        <f t="shared" si="82"/>
        <v>6.1118248418022771</v>
      </c>
      <c r="M82" s="10"/>
    </row>
    <row r="83" spans="1:13" x14ac:dyDescent="0.3">
      <c r="A83" s="2" t="s">
        <v>82</v>
      </c>
      <c r="B83" s="3">
        <v>359878.40000000002</v>
      </c>
      <c r="C83" s="3">
        <v>32590.1</v>
      </c>
      <c r="D83" s="3">
        <v>392479</v>
      </c>
      <c r="E83" s="3">
        <v>-4426.7</v>
      </c>
      <c r="F83" s="3">
        <v>388052.2</v>
      </c>
      <c r="G83" s="3">
        <v>1362.4</v>
      </c>
      <c r="H83" s="3">
        <v>389450.1</v>
      </c>
      <c r="I83" s="3">
        <v>392479</v>
      </c>
      <c r="J83" s="3">
        <v>389450.1</v>
      </c>
      <c r="K83" s="7">
        <f t="shared" ref="K83:L83" si="83">(SUM(I80:I83)-SUM(I76:I79))/SUM(I76:I79)*100</f>
        <v>5.5481448333828665</v>
      </c>
      <c r="L83" s="7">
        <f t="shared" si="83"/>
        <v>7.4766713640523026</v>
      </c>
      <c r="M83" s="10"/>
    </row>
    <row r="84" spans="1:13" x14ac:dyDescent="0.3">
      <c r="A84" s="2" t="s">
        <v>83</v>
      </c>
      <c r="B84" s="3">
        <v>363382.8</v>
      </c>
      <c r="C84" s="3">
        <v>33071.1</v>
      </c>
      <c r="D84" s="3">
        <v>396469.6</v>
      </c>
      <c r="E84" s="3">
        <v>-4287.6000000000004</v>
      </c>
      <c r="F84" s="3">
        <v>392182</v>
      </c>
      <c r="G84" s="3">
        <v>1625.7</v>
      </c>
      <c r="H84" s="3">
        <v>393838.3</v>
      </c>
      <c r="I84" s="3">
        <v>396469.6</v>
      </c>
      <c r="J84" s="3">
        <v>393838.3</v>
      </c>
      <c r="K84" s="7">
        <f t="shared" ref="K84:L84" si="84">(SUM(I81:I84)-SUM(I77:I80))/SUM(I77:I80)*100</f>
        <v>6.7292897353111449</v>
      </c>
      <c r="L84" s="7">
        <f t="shared" si="84"/>
        <v>8.0569456044776686</v>
      </c>
      <c r="M84" s="10"/>
    </row>
    <row r="85" spans="1:13" x14ac:dyDescent="0.3">
      <c r="A85" s="2" t="s">
        <v>84</v>
      </c>
      <c r="B85" s="3">
        <v>368898.7</v>
      </c>
      <c r="C85" s="3">
        <v>33164.400000000001</v>
      </c>
      <c r="D85" s="3">
        <v>402066</v>
      </c>
      <c r="E85" s="3">
        <v>-7759.9</v>
      </c>
      <c r="F85" s="3">
        <v>394306.1</v>
      </c>
      <c r="G85" s="3">
        <v>-2476.3000000000002</v>
      </c>
      <c r="H85" s="3">
        <v>391958.1</v>
      </c>
      <c r="I85" s="3">
        <v>402066</v>
      </c>
      <c r="J85" s="3">
        <v>391958.1</v>
      </c>
      <c r="K85" s="7">
        <f t="shared" ref="K85:L85" si="85">(SUM(I82:I85)-SUM(I78:I81))/SUM(I78:I81)*100</f>
        <v>6.9816613885307275</v>
      </c>
      <c r="L85" s="7">
        <f t="shared" si="85"/>
        <v>7.4771563259664937</v>
      </c>
      <c r="M85" s="10"/>
    </row>
    <row r="86" spans="1:13" x14ac:dyDescent="0.3">
      <c r="A86" s="2" t="s">
        <v>85</v>
      </c>
      <c r="B86" s="3">
        <v>372540.4</v>
      </c>
      <c r="C86" s="3">
        <v>33369.1</v>
      </c>
      <c r="D86" s="3">
        <v>405904.8</v>
      </c>
      <c r="E86" s="3">
        <v>-16080.5</v>
      </c>
      <c r="F86" s="3">
        <v>389824.3</v>
      </c>
      <c r="G86" s="3">
        <v>524.29999999999995</v>
      </c>
      <c r="H86" s="3">
        <v>390403.3</v>
      </c>
      <c r="I86" s="3">
        <v>405904.8</v>
      </c>
      <c r="J86" s="3">
        <v>390403.3</v>
      </c>
      <c r="K86" s="7">
        <f t="shared" ref="K86:L86" si="86">(SUM(I83:I86)-SUM(I79:I82))/SUM(I79:I82)*100</f>
        <v>6.3303085705488993</v>
      </c>
      <c r="L86" s="7">
        <f t="shared" si="86"/>
        <v>5.3381944170648739</v>
      </c>
      <c r="M86" s="10"/>
    </row>
    <row r="87" spans="1:13" x14ac:dyDescent="0.3">
      <c r="A87" s="2" t="s">
        <v>86</v>
      </c>
      <c r="B87" s="3">
        <v>373609.5</v>
      </c>
      <c r="C87" s="3">
        <v>34035.1</v>
      </c>
      <c r="D87" s="3">
        <v>407666.7</v>
      </c>
      <c r="E87" s="3">
        <v>-14822.9</v>
      </c>
      <c r="F87" s="3">
        <v>392843.8</v>
      </c>
      <c r="G87" s="3">
        <v>2121.9</v>
      </c>
      <c r="H87" s="3">
        <v>394970</v>
      </c>
      <c r="I87" s="3">
        <v>407666.7</v>
      </c>
      <c r="J87" s="3">
        <v>394970</v>
      </c>
      <c r="K87" s="7">
        <f t="shared" ref="K87:L87" si="87">(SUM(I84:I87)-SUM(I80:I83))/SUM(I80:I83)*100</f>
        <v>5.3137651755742006</v>
      </c>
      <c r="L87" s="7">
        <f t="shared" si="87"/>
        <v>3.8456891509168929</v>
      </c>
      <c r="M87" s="10"/>
    </row>
    <row r="88" spans="1:13" x14ac:dyDescent="0.3">
      <c r="A88" s="2" t="s">
        <v>87</v>
      </c>
      <c r="B88" s="3">
        <v>375429.5</v>
      </c>
      <c r="C88" s="3">
        <v>34105.1</v>
      </c>
      <c r="D88" s="3">
        <v>409552.3</v>
      </c>
      <c r="E88" s="3">
        <v>-13958.7</v>
      </c>
      <c r="F88" s="3">
        <v>395593.7</v>
      </c>
      <c r="G88" s="3">
        <v>3786.6</v>
      </c>
      <c r="H88" s="3">
        <v>399331.6</v>
      </c>
      <c r="I88" s="3">
        <v>409552.3</v>
      </c>
      <c r="J88" s="3">
        <v>399331.6</v>
      </c>
      <c r="K88" s="7">
        <f t="shared" ref="K88:L88" si="88">(SUM(I85:I88)-SUM(I81:I84))/SUM(I81:I84)*100</f>
        <v>4.6764895206273716</v>
      </c>
      <c r="L88" s="7">
        <f t="shared" si="88"/>
        <v>2.5305753714959187</v>
      </c>
      <c r="M88" s="10"/>
    </row>
    <row r="89" spans="1:13" x14ac:dyDescent="0.3">
      <c r="A89" s="2" t="s">
        <v>88</v>
      </c>
      <c r="B89" s="3">
        <v>377789.1</v>
      </c>
      <c r="C89" s="3">
        <v>34484.199999999997</v>
      </c>
      <c r="D89" s="3">
        <v>412298.9</v>
      </c>
      <c r="E89" s="3">
        <v>-15804.6</v>
      </c>
      <c r="F89" s="3">
        <v>396494.3</v>
      </c>
      <c r="G89" s="3">
        <v>3144.2</v>
      </c>
      <c r="H89" s="3">
        <v>399610.1</v>
      </c>
      <c r="I89" s="3">
        <v>412298.9</v>
      </c>
      <c r="J89" s="3">
        <v>399610.1</v>
      </c>
      <c r="K89" s="7">
        <f t="shared" ref="K89:L89" si="89">(SUM(I86:I89)-SUM(I82:I85))/SUM(I82:I85)*100</f>
        <v>3.6880320602952112</v>
      </c>
      <c r="L89" s="7">
        <f t="shared" si="89"/>
        <v>1.6918701961107574</v>
      </c>
      <c r="M89" s="10"/>
    </row>
    <row r="90" spans="1:13" x14ac:dyDescent="0.3">
      <c r="A90" s="2" t="s">
        <v>89</v>
      </c>
      <c r="B90" s="3">
        <v>381560.8</v>
      </c>
      <c r="C90" s="3">
        <v>34664.400000000001</v>
      </c>
      <c r="D90" s="3">
        <v>416240.7</v>
      </c>
      <c r="E90" s="3">
        <v>-17168.5</v>
      </c>
      <c r="F90" s="3">
        <v>399072.3</v>
      </c>
      <c r="G90" s="3">
        <v>3704.5</v>
      </c>
      <c r="H90" s="3">
        <v>402731</v>
      </c>
      <c r="I90" s="3">
        <v>416240.7</v>
      </c>
      <c r="J90" s="3">
        <v>402731</v>
      </c>
      <c r="K90" s="7">
        <f t="shared" ref="K90:L90" si="90">(SUM(I87:I90)-SUM(I83:I86))/SUM(I83:I86)*100</f>
        <v>3.0583384483900513</v>
      </c>
      <c r="L90" s="7">
        <f t="shared" si="90"/>
        <v>1.9795550703611948</v>
      </c>
      <c r="M90" s="10"/>
    </row>
    <row r="91" spans="1:13" x14ac:dyDescent="0.3">
      <c r="A91" s="2" t="s">
        <v>90</v>
      </c>
      <c r="B91" s="3">
        <v>383513.59999999998</v>
      </c>
      <c r="C91" s="3">
        <v>34469.4</v>
      </c>
      <c r="D91" s="3">
        <v>417998</v>
      </c>
      <c r="E91" s="3">
        <v>-17738.7</v>
      </c>
      <c r="F91" s="3">
        <v>400259.3</v>
      </c>
      <c r="G91" s="3">
        <v>5461.8</v>
      </c>
      <c r="H91" s="3">
        <v>405611.7</v>
      </c>
      <c r="I91" s="3">
        <v>417998</v>
      </c>
      <c r="J91" s="3">
        <v>405611.7</v>
      </c>
      <c r="K91" s="7">
        <f t="shared" ref="K91:L91" si="91">(SUM(I88:I91)-SUM(I84:I87))/SUM(I84:I87)*100</f>
        <v>2.7282802736865341</v>
      </c>
      <c r="L91" s="7">
        <f t="shared" si="91"/>
        <v>2.2985868426561402</v>
      </c>
      <c r="M91" s="10"/>
    </row>
    <row r="92" spans="1:13" x14ac:dyDescent="0.3">
      <c r="A92" s="2" t="s">
        <v>91</v>
      </c>
      <c r="B92" s="3">
        <v>385185.3</v>
      </c>
      <c r="C92" s="3">
        <v>34661.300000000003</v>
      </c>
      <c r="D92" s="3">
        <v>419861.6</v>
      </c>
      <c r="E92" s="3">
        <v>-12328.1</v>
      </c>
      <c r="F92" s="3">
        <v>407533.4</v>
      </c>
      <c r="G92" s="3">
        <v>3802.9</v>
      </c>
      <c r="H92" s="3">
        <v>411284.7</v>
      </c>
      <c r="I92" s="3">
        <v>419861.6</v>
      </c>
      <c r="J92" s="3">
        <v>411284.7</v>
      </c>
      <c r="K92" s="7">
        <f t="shared" ref="K92:L92" si="92">(SUM(I89:I92)-SUM(I85:I88))/SUM(I85:I88)*100</f>
        <v>2.5356669110278776</v>
      </c>
      <c r="L92" s="7">
        <f t="shared" si="92"/>
        <v>2.7002916920102775</v>
      </c>
      <c r="M92" s="10"/>
    </row>
    <row r="93" spans="1:13" x14ac:dyDescent="0.3">
      <c r="A93" s="2" t="s">
        <v>92</v>
      </c>
      <c r="B93" s="3">
        <v>388057.7</v>
      </c>
      <c r="C93" s="3">
        <v>34914.6</v>
      </c>
      <c r="D93" s="3">
        <v>422987.5</v>
      </c>
      <c r="E93" s="3">
        <v>-13619.1</v>
      </c>
      <c r="F93" s="3">
        <v>409368.4</v>
      </c>
      <c r="G93" s="3">
        <v>3665</v>
      </c>
      <c r="H93" s="3">
        <v>412985.8</v>
      </c>
      <c r="I93" s="3">
        <v>422987.5</v>
      </c>
      <c r="J93" s="3">
        <v>412985.8</v>
      </c>
      <c r="K93" s="7">
        <f t="shared" ref="K93:L93" si="93">(SUM(I90:I93)-SUM(I86:I89))/SUM(I86:I89)*100</f>
        <v>2.5476655056823918</v>
      </c>
      <c r="L93" s="7">
        <f t="shared" si="93"/>
        <v>3.0485225475994326</v>
      </c>
      <c r="M93" s="10"/>
    </row>
    <row r="94" spans="1:13" x14ac:dyDescent="0.3">
      <c r="A94" s="2" t="s">
        <v>93</v>
      </c>
      <c r="B94" s="3">
        <v>391593.3</v>
      </c>
      <c r="C94" s="3">
        <v>34731.199999999997</v>
      </c>
      <c r="D94" s="3">
        <v>426342.40000000002</v>
      </c>
      <c r="E94" s="3">
        <v>-14533.8</v>
      </c>
      <c r="F94" s="3">
        <v>411808.6</v>
      </c>
      <c r="G94" s="3">
        <v>2595.3000000000002</v>
      </c>
      <c r="H94" s="3">
        <v>414384.3</v>
      </c>
      <c r="I94" s="3">
        <v>426342.40000000002</v>
      </c>
      <c r="J94" s="3">
        <v>414384.3</v>
      </c>
      <c r="K94" s="7">
        <f t="shared" ref="K94:L94" si="94">(SUM(I91:I94)-SUM(I87:I90))/SUM(I87:I90)*100</f>
        <v>2.5174348169895722</v>
      </c>
      <c r="L94" s="7">
        <f t="shared" si="94"/>
        <v>2.9827462337065174</v>
      </c>
      <c r="M94" s="10"/>
    </row>
    <row r="95" spans="1:13" x14ac:dyDescent="0.3">
      <c r="A95" s="2" t="s">
        <v>94</v>
      </c>
      <c r="B95" s="3">
        <v>396587.5</v>
      </c>
      <c r="C95" s="3">
        <v>34552</v>
      </c>
      <c r="D95" s="3">
        <v>431160.1</v>
      </c>
      <c r="E95" s="3">
        <v>-10783</v>
      </c>
      <c r="F95" s="3">
        <v>420377</v>
      </c>
      <c r="G95" s="3">
        <v>3100</v>
      </c>
      <c r="H95" s="3">
        <v>423445.3</v>
      </c>
      <c r="I95" s="3">
        <v>431160.1</v>
      </c>
      <c r="J95" s="3">
        <v>423445.3</v>
      </c>
      <c r="K95" s="7">
        <f t="shared" ref="K95:L95" si="95">(SUM(I92:I95)-SUM(I88:I91))/SUM(I88:I91)*100</f>
        <v>2.6726628789898537</v>
      </c>
      <c r="L95" s="7">
        <f t="shared" si="95"/>
        <v>3.4104543041667172</v>
      </c>
      <c r="M95" s="10"/>
    </row>
    <row r="96" spans="1:13" x14ac:dyDescent="0.3">
      <c r="A96" s="2" t="s">
        <v>95</v>
      </c>
      <c r="B96" s="3">
        <v>400281.7</v>
      </c>
      <c r="C96" s="3">
        <v>35183.5</v>
      </c>
      <c r="D96" s="3">
        <v>435484.7</v>
      </c>
      <c r="E96" s="3">
        <v>-9801.5</v>
      </c>
      <c r="F96" s="3">
        <v>425683.20000000001</v>
      </c>
      <c r="G96" s="3">
        <v>1993.2</v>
      </c>
      <c r="H96" s="3">
        <v>427676.6</v>
      </c>
      <c r="I96" s="3">
        <v>435484.7</v>
      </c>
      <c r="J96" s="3">
        <v>427676.6</v>
      </c>
      <c r="K96" s="7">
        <f t="shared" ref="K96:L96" si="96">(SUM(I93:I96)-SUM(I89:I92))/SUM(I89:I92)*100</f>
        <v>2.9750074291922224</v>
      </c>
      <c r="L96" s="7">
        <f t="shared" si="96"/>
        <v>3.6594075915361395</v>
      </c>
      <c r="M96" s="10"/>
    </row>
    <row r="97" spans="1:13" x14ac:dyDescent="0.3">
      <c r="A97" s="2" t="s">
        <v>96</v>
      </c>
      <c r="B97" s="3">
        <v>403526.2</v>
      </c>
      <c r="C97" s="3">
        <v>35755.599999999999</v>
      </c>
      <c r="D97" s="3">
        <v>439300.3</v>
      </c>
      <c r="E97" s="3">
        <v>-11069.3</v>
      </c>
      <c r="F97" s="3">
        <v>428231</v>
      </c>
      <c r="G97" s="3">
        <v>2841.6</v>
      </c>
      <c r="H97" s="3">
        <v>431049.4</v>
      </c>
      <c r="I97" s="3">
        <v>439300.3</v>
      </c>
      <c r="J97" s="3">
        <v>431049.4</v>
      </c>
      <c r="K97" s="7">
        <f t="shared" ref="K97:L97" si="97">(SUM(I94:I97)-SUM(I90:I93))/SUM(I90:I93)*100</f>
        <v>3.2914019170612407</v>
      </c>
      <c r="L97" s="7">
        <f t="shared" si="97"/>
        <v>3.9165676229985245</v>
      </c>
      <c r="M97" s="10"/>
    </row>
    <row r="98" spans="1:13" x14ac:dyDescent="0.3">
      <c r="A98" s="2" t="s">
        <v>97</v>
      </c>
      <c r="B98" s="3">
        <v>406555.6</v>
      </c>
      <c r="C98" s="3">
        <v>36102.800000000003</v>
      </c>
      <c r="D98" s="3">
        <v>442669.9</v>
      </c>
      <c r="E98" s="3">
        <v>-11649.4</v>
      </c>
      <c r="F98" s="3">
        <v>431020.4</v>
      </c>
      <c r="G98" s="3">
        <v>-281</v>
      </c>
      <c r="H98" s="3">
        <v>430785.6</v>
      </c>
      <c r="I98" s="3">
        <v>442669.9</v>
      </c>
      <c r="J98" s="3">
        <v>430785.6</v>
      </c>
      <c r="K98" s="7">
        <f t="shared" ref="K98:L98" si="98">(SUM(I95:I98)-SUM(I91:I94))/SUM(I91:I94)*100</f>
        <v>3.640699518341004</v>
      </c>
      <c r="L98" s="7">
        <f t="shared" si="98"/>
        <v>4.1775709716156051</v>
      </c>
      <c r="M98" s="10"/>
    </row>
    <row r="99" spans="1:13" x14ac:dyDescent="0.3">
      <c r="A99" s="2" t="s">
        <v>98</v>
      </c>
      <c r="B99" s="3">
        <v>410493.1</v>
      </c>
      <c r="C99" s="3">
        <v>36365.4</v>
      </c>
      <c r="D99" s="3">
        <v>446872.4</v>
      </c>
      <c r="E99" s="3">
        <v>-9948</v>
      </c>
      <c r="F99" s="3">
        <v>436924.3</v>
      </c>
      <c r="G99" s="3">
        <v>3081.7</v>
      </c>
      <c r="H99" s="3">
        <v>439978.9</v>
      </c>
      <c r="I99" s="3">
        <v>446872.4</v>
      </c>
      <c r="J99" s="3">
        <v>439978.9</v>
      </c>
      <c r="K99" s="7">
        <f t="shared" ref="K99:L99" si="99">(SUM(I96:I99)-SUM(I92:I95))/SUM(I92:I95)*100</f>
        <v>3.7624982974109424</v>
      </c>
      <c r="L99" s="7">
        <f t="shared" si="99"/>
        <v>4.0545331776347222</v>
      </c>
      <c r="M99" s="10"/>
    </row>
    <row r="100" spans="1:13" x14ac:dyDescent="0.3">
      <c r="A100" s="2" t="s">
        <v>99</v>
      </c>
      <c r="B100" s="3">
        <v>411018.8</v>
      </c>
      <c r="C100" s="3">
        <v>37007.1</v>
      </c>
      <c r="D100" s="3">
        <v>448023.5</v>
      </c>
      <c r="E100" s="3">
        <v>-11550</v>
      </c>
      <c r="F100" s="3">
        <v>436473.5</v>
      </c>
      <c r="G100" s="3">
        <v>1925.2</v>
      </c>
      <c r="H100" s="3">
        <v>438397.8</v>
      </c>
      <c r="I100" s="3">
        <v>448023.5</v>
      </c>
      <c r="J100" s="3">
        <v>438397.8</v>
      </c>
      <c r="K100" s="7">
        <f t="shared" ref="K100:L100" si="100">(SUM(I97:I100)-SUM(I93:I96))/SUM(I93:I96)*100</f>
        <v>3.5485022011105491</v>
      </c>
      <c r="L100" s="7">
        <f t="shared" si="100"/>
        <v>3.6770922947502851</v>
      </c>
      <c r="M100" s="10"/>
    </row>
    <row r="101" spans="1:13" x14ac:dyDescent="0.3">
      <c r="A101" s="2" t="s">
        <v>100</v>
      </c>
      <c r="B101" s="3">
        <v>413521.9</v>
      </c>
      <c r="C101" s="3">
        <v>36880</v>
      </c>
      <c r="D101" s="3">
        <v>450409.2</v>
      </c>
      <c r="E101" s="3">
        <v>-7672.3</v>
      </c>
      <c r="F101" s="3">
        <v>442736.9</v>
      </c>
      <c r="G101" s="3">
        <v>3567.4</v>
      </c>
      <c r="H101" s="3">
        <v>446268</v>
      </c>
      <c r="I101" s="3">
        <v>450409.2</v>
      </c>
      <c r="J101" s="3">
        <v>446268</v>
      </c>
      <c r="K101" s="7">
        <f t="shared" ref="K101:L101" si="101">(SUM(I98:I101)-SUM(I94:I97))/SUM(I94:I97)*100</f>
        <v>3.2146800112567915</v>
      </c>
      <c r="L101" s="7">
        <f t="shared" si="101"/>
        <v>3.4702487793503467</v>
      </c>
      <c r="M101" s="10"/>
    </row>
    <row r="102" spans="1:13" x14ac:dyDescent="0.3">
      <c r="A102" s="2" t="s">
        <v>101</v>
      </c>
      <c r="B102" s="3">
        <v>417056.9</v>
      </c>
      <c r="C102" s="3">
        <v>37240.800000000003</v>
      </c>
      <c r="D102" s="3">
        <v>454302.8</v>
      </c>
      <c r="E102" s="3">
        <v>4327.5</v>
      </c>
      <c r="F102" s="3">
        <v>458630.3</v>
      </c>
      <c r="G102" s="3">
        <v>4867.3</v>
      </c>
      <c r="H102" s="3">
        <v>463443.4</v>
      </c>
      <c r="I102" s="3">
        <v>454302.8</v>
      </c>
      <c r="J102" s="3">
        <v>463443.4</v>
      </c>
      <c r="K102" s="7">
        <f t="shared" ref="K102:L102" si="102">(SUM(I99:I102)-SUM(I95:I98))/SUM(I95:I98)*100</f>
        <v>2.916187954466829</v>
      </c>
      <c r="L102" s="7">
        <f t="shared" si="102"/>
        <v>4.3860531458789298</v>
      </c>
      <c r="M102" s="10"/>
    </row>
    <row r="103" spans="1:13" x14ac:dyDescent="0.3">
      <c r="A103" s="2" t="s">
        <v>102</v>
      </c>
      <c r="B103" s="3">
        <v>418638.9</v>
      </c>
      <c r="C103" s="3">
        <v>37623</v>
      </c>
      <c r="D103" s="3">
        <v>456256.6</v>
      </c>
      <c r="E103" s="3">
        <v>6868.7</v>
      </c>
      <c r="F103" s="3">
        <v>463125.3</v>
      </c>
      <c r="G103" s="3">
        <v>-127.4</v>
      </c>
      <c r="H103" s="3">
        <v>463039.3</v>
      </c>
      <c r="I103" s="3">
        <v>456256.6</v>
      </c>
      <c r="J103" s="3">
        <v>463039.3</v>
      </c>
      <c r="K103" s="7">
        <f t="shared" ref="K103:L103" si="103">(SUM(I100:I103)-SUM(I96:I99))/SUM(I96:I99)*100</f>
        <v>2.5315484264172685</v>
      </c>
      <c r="L103" s="7">
        <f t="shared" si="103"/>
        <v>4.7215061314300506</v>
      </c>
      <c r="M103" s="10"/>
    </row>
    <row r="104" spans="1:13" x14ac:dyDescent="0.3">
      <c r="A104" s="2" t="s">
        <v>103</v>
      </c>
      <c r="B104" s="3">
        <v>424793</v>
      </c>
      <c r="C104" s="3">
        <v>38240.699999999997</v>
      </c>
      <c r="D104" s="3">
        <v>463025.5</v>
      </c>
      <c r="E104" s="3">
        <v>6180</v>
      </c>
      <c r="F104" s="3">
        <v>469205.6</v>
      </c>
      <c r="G104" s="3">
        <v>1152.0999999999999</v>
      </c>
      <c r="H104" s="3">
        <v>470377.7</v>
      </c>
      <c r="I104" s="3">
        <v>463025.5</v>
      </c>
      <c r="J104" s="3">
        <v>470377.7</v>
      </c>
      <c r="K104" s="7">
        <f t="shared" ref="K104:L104" si="104">(SUM(I101:I104)-SUM(I97:I100))/SUM(I97:I100)*100</f>
        <v>2.6523101543779801</v>
      </c>
      <c r="L104" s="7">
        <f t="shared" si="104"/>
        <v>5.9140333328410541</v>
      </c>
      <c r="M104" s="10"/>
    </row>
    <row r="105" spans="1:13" x14ac:dyDescent="0.3">
      <c r="A105" s="2" t="s">
        <v>104</v>
      </c>
      <c r="B105" s="3">
        <v>427900.4</v>
      </c>
      <c r="C105" s="3">
        <v>38720.6</v>
      </c>
      <c r="D105" s="3">
        <v>466604</v>
      </c>
      <c r="E105" s="3">
        <v>6948.7</v>
      </c>
      <c r="F105" s="3">
        <v>473552.7</v>
      </c>
      <c r="G105" s="3">
        <v>-235.3</v>
      </c>
      <c r="H105" s="3">
        <v>473361.8</v>
      </c>
      <c r="I105" s="3">
        <v>466604</v>
      </c>
      <c r="J105" s="3">
        <v>473361.8</v>
      </c>
      <c r="K105" s="7">
        <f t="shared" ref="K105:L105" si="105">(SUM(I102:I105)-SUM(I98:I101))/SUM(I98:I101)*100</f>
        <v>2.9202813238440082</v>
      </c>
      <c r="L105" s="7">
        <f t="shared" si="105"/>
        <v>6.5392456766867877</v>
      </c>
      <c r="M105" s="10"/>
    </row>
    <row r="106" spans="1:13" x14ac:dyDescent="0.3">
      <c r="A106" s="2" t="s">
        <v>105</v>
      </c>
      <c r="B106" s="3">
        <v>429313.5</v>
      </c>
      <c r="C106" s="3">
        <v>39116.5</v>
      </c>
      <c r="D106" s="3">
        <v>468400.3</v>
      </c>
      <c r="E106" s="3">
        <v>15640</v>
      </c>
      <c r="F106" s="3">
        <v>484040.4</v>
      </c>
      <c r="G106" s="3">
        <v>1426.4</v>
      </c>
      <c r="H106" s="3">
        <v>485479.8</v>
      </c>
      <c r="I106" s="3">
        <v>468400.3</v>
      </c>
      <c r="J106" s="3">
        <v>485479.8</v>
      </c>
      <c r="K106" s="7">
        <f t="shared" ref="K106:L106" si="106">(SUM(I103:I106)-SUM(I99:I102))/SUM(I99:I102)*100</f>
        <v>3.0383562997250677</v>
      </c>
      <c r="L106" s="7">
        <f t="shared" si="106"/>
        <v>5.825803549612572</v>
      </c>
      <c r="M106" s="10"/>
    </row>
    <row r="107" spans="1:13" x14ac:dyDescent="0.3">
      <c r="A107" s="2" t="s">
        <v>106</v>
      </c>
      <c r="B107" s="3">
        <v>434771</v>
      </c>
      <c r="C107" s="3">
        <v>39526.6</v>
      </c>
      <c r="D107" s="3">
        <v>474271.5</v>
      </c>
      <c r="E107" s="3">
        <v>13655.9</v>
      </c>
      <c r="F107" s="3">
        <v>487927.4</v>
      </c>
      <c r="G107" s="3">
        <v>3009.3</v>
      </c>
      <c r="H107" s="3">
        <v>490938.8</v>
      </c>
      <c r="I107" s="3">
        <v>474271.5</v>
      </c>
      <c r="J107" s="3">
        <v>490938.8</v>
      </c>
      <c r="K107" s="7">
        <f t="shared" ref="K107:L107" si="107">(SUM(I104:I107)-SUM(I100:I103))/SUM(I100:I103)*100</f>
        <v>3.499694664227663</v>
      </c>
      <c r="L107" s="7">
        <f t="shared" si="107"/>
        <v>6.0188107159628181</v>
      </c>
      <c r="M107" s="10"/>
    </row>
    <row r="108" spans="1:13" x14ac:dyDescent="0.3">
      <c r="A108" s="2" t="s">
        <v>107</v>
      </c>
      <c r="B108" s="3">
        <v>436302.6</v>
      </c>
      <c r="C108" s="3">
        <v>39836.9</v>
      </c>
      <c r="D108" s="3">
        <v>476105.6</v>
      </c>
      <c r="E108" s="3">
        <v>10755.6</v>
      </c>
      <c r="F108" s="3">
        <v>486861.2</v>
      </c>
      <c r="G108" s="3">
        <v>1612.2</v>
      </c>
      <c r="H108" s="3">
        <v>488484.8</v>
      </c>
      <c r="I108" s="3">
        <v>476105.6</v>
      </c>
      <c r="J108" s="3">
        <v>488484.8</v>
      </c>
      <c r="K108" s="7">
        <f t="shared" ref="K108:L108" si="108">(SUM(I105:I108)-SUM(I101:I104))/SUM(I101:I104)*100</f>
        <v>3.3655426845952965</v>
      </c>
      <c r="L108" s="7">
        <f t="shared" si="108"/>
        <v>5.1617022449439798</v>
      </c>
      <c r="M108" s="10"/>
    </row>
    <row r="109" spans="1:13" x14ac:dyDescent="0.3">
      <c r="A109" s="2" t="s">
        <v>108</v>
      </c>
      <c r="B109" s="3">
        <v>439808.4</v>
      </c>
      <c r="C109" s="3">
        <v>39992</v>
      </c>
      <c r="D109" s="3">
        <v>479773.7</v>
      </c>
      <c r="E109" s="3">
        <v>11138</v>
      </c>
      <c r="F109" s="3">
        <v>490911.7</v>
      </c>
      <c r="G109" s="3">
        <v>667.4</v>
      </c>
      <c r="H109" s="3">
        <v>491598.2</v>
      </c>
      <c r="I109" s="3">
        <v>479773.7</v>
      </c>
      <c r="J109" s="3">
        <v>491598.2</v>
      </c>
      <c r="K109" s="7">
        <f t="shared" ref="K109:L109" si="109">(SUM(I106:I109)-SUM(I102:I105))/SUM(I102:I105)*100</f>
        <v>3.1715330964120021</v>
      </c>
      <c r="L109" s="7">
        <f t="shared" si="109"/>
        <v>4.6133234863750365</v>
      </c>
      <c r="M109" s="10"/>
    </row>
    <row r="110" spans="1:13" x14ac:dyDescent="0.3">
      <c r="A110" s="2" t="s">
        <v>109</v>
      </c>
      <c r="B110" s="3">
        <v>445234.8</v>
      </c>
      <c r="C110" s="3">
        <v>39962.9</v>
      </c>
      <c r="D110" s="3">
        <v>485188.1</v>
      </c>
      <c r="E110" s="3">
        <v>13029</v>
      </c>
      <c r="F110" s="3">
        <v>498217</v>
      </c>
      <c r="G110" s="3">
        <v>1502.2</v>
      </c>
      <c r="H110" s="3">
        <v>499730.4</v>
      </c>
      <c r="I110" s="3">
        <v>485188.1</v>
      </c>
      <c r="J110" s="3">
        <v>499730.4</v>
      </c>
      <c r="K110" s="7">
        <f t="shared" ref="K110:L110" si="110">(SUM(I107:I110)-SUM(I103:I106))/SUM(I103:I106)*100</f>
        <v>3.2925064865923495</v>
      </c>
      <c r="L110" s="7">
        <f t="shared" si="110"/>
        <v>4.148143388012616</v>
      </c>
      <c r="M110" s="10"/>
    </row>
    <row r="111" spans="1:13" x14ac:dyDescent="0.3">
      <c r="A111" s="2" t="s">
        <v>110</v>
      </c>
      <c r="B111" s="3">
        <v>448266.4</v>
      </c>
      <c r="C111" s="3">
        <v>40504.800000000003</v>
      </c>
      <c r="D111" s="3">
        <v>488752.2</v>
      </c>
      <c r="E111" s="3">
        <v>11880.9</v>
      </c>
      <c r="F111" s="3">
        <v>500633.1</v>
      </c>
      <c r="G111" s="3">
        <v>610.6</v>
      </c>
      <c r="H111" s="3">
        <v>501258.8</v>
      </c>
      <c r="I111" s="3">
        <v>488752.2</v>
      </c>
      <c r="J111" s="3">
        <v>501258.8</v>
      </c>
      <c r="K111" s="7">
        <f t="shared" ref="K111:L111" si="111">(SUM(I108:I111)-SUM(I104:I107))/SUM(I104:I107)*100</f>
        <v>3.0720643093074718</v>
      </c>
      <c r="L111" s="7">
        <f t="shared" si="111"/>
        <v>3.1723481519568546</v>
      </c>
      <c r="M111" s="10"/>
    </row>
    <row r="112" spans="1:13" x14ac:dyDescent="0.3">
      <c r="A112" s="2" t="s">
        <v>111</v>
      </c>
      <c r="B112" s="3">
        <v>454651.4</v>
      </c>
      <c r="C112" s="3">
        <v>40831.699999999997</v>
      </c>
      <c r="D112" s="3">
        <v>495472.5</v>
      </c>
      <c r="E112" s="3">
        <v>14194.7</v>
      </c>
      <c r="F112" s="3">
        <v>509667.2</v>
      </c>
      <c r="G112" s="3">
        <v>2976.7</v>
      </c>
      <c r="H112" s="3">
        <v>512654.1</v>
      </c>
      <c r="I112" s="3">
        <v>495472.5</v>
      </c>
      <c r="J112" s="3">
        <v>512654.1</v>
      </c>
      <c r="K112" s="7">
        <f t="shared" ref="K112:L112" si="112">(SUM(I109:I112)-SUM(I105:I108))/SUM(I105:I108)*100</f>
        <v>3.3842012019424876</v>
      </c>
      <c r="L112" s="7">
        <f t="shared" si="112"/>
        <v>3.4554765777149612</v>
      </c>
      <c r="M112" s="10"/>
    </row>
    <row r="113" spans="1:13" x14ac:dyDescent="0.3">
      <c r="A113" s="2" t="s">
        <v>112</v>
      </c>
      <c r="B113" s="3">
        <v>452978.3</v>
      </c>
      <c r="C113" s="3">
        <v>41375.599999999999</v>
      </c>
      <c r="D113" s="3">
        <v>494319.3</v>
      </c>
      <c r="E113" s="3">
        <v>9166.1</v>
      </c>
      <c r="F113" s="3">
        <v>503485.4</v>
      </c>
      <c r="G113" s="3">
        <v>2583.5</v>
      </c>
      <c r="H113" s="3">
        <v>506080.2</v>
      </c>
      <c r="I113" s="3">
        <v>494319.3</v>
      </c>
      <c r="J113" s="3">
        <v>506080.2</v>
      </c>
      <c r="K113" s="7">
        <f t="shared" ref="K113:L113" si="113">(SUM(I110:I113)-SUM(I106:I109))/SUM(I106:I109)*100</f>
        <v>3.4331970311465536</v>
      </c>
      <c r="L113" s="7">
        <f t="shared" si="113"/>
        <v>3.2313748171736689</v>
      </c>
      <c r="M113" s="10"/>
    </row>
    <row r="114" spans="1:13" x14ac:dyDescent="0.3">
      <c r="A114" s="2" t="s">
        <v>113</v>
      </c>
      <c r="B114" s="3">
        <v>460416.8</v>
      </c>
      <c r="C114" s="3">
        <v>41178.6</v>
      </c>
      <c r="D114" s="3">
        <v>501586.1</v>
      </c>
      <c r="E114" s="3">
        <v>13176.5</v>
      </c>
      <c r="F114" s="3">
        <v>514762.6</v>
      </c>
      <c r="G114" s="3">
        <v>2095.3000000000002</v>
      </c>
      <c r="H114" s="3">
        <v>516874.7</v>
      </c>
      <c r="I114" s="3">
        <v>501586.1</v>
      </c>
      <c r="J114" s="3">
        <v>516874.7</v>
      </c>
      <c r="K114" s="7">
        <f t="shared" ref="K114:L114" si="114">(SUM(I111:I114)-SUM(I107:I110))/SUM(I107:I110)*100</f>
        <v>3.3827538301446385</v>
      </c>
      <c r="L114" s="7">
        <f t="shared" si="114"/>
        <v>3.3548408572117596</v>
      </c>
      <c r="M114" s="10"/>
    </row>
    <row r="115" spans="1:13" x14ac:dyDescent="0.3">
      <c r="A115" s="2" t="s">
        <v>114</v>
      </c>
      <c r="B115" s="3">
        <v>464287</v>
      </c>
      <c r="C115" s="3">
        <v>41211.800000000003</v>
      </c>
      <c r="D115" s="3">
        <v>505496.7</v>
      </c>
      <c r="E115" s="3">
        <v>7671.7</v>
      </c>
      <c r="F115" s="3">
        <v>513168.5</v>
      </c>
      <c r="G115" s="3">
        <v>1590.4</v>
      </c>
      <c r="H115" s="3">
        <v>514775.8</v>
      </c>
      <c r="I115" s="3">
        <v>505496.7</v>
      </c>
      <c r="J115" s="3">
        <v>514775.8</v>
      </c>
      <c r="K115" s="7">
        <f t="shared" ref="K115:L115" si="115">(SUM(I112:I115)-SUM(I108:I111))/SUM(I108:I111)*100</f>
        <v>3.4746771148971649</v>
      </c>
      <c r="L115" s="7">
        <f t="shared" si="115"/>
        <v>3.4987417419718523</v>
      </c>
      <c r="M115" s="10"/>
    </row>
    <row r="116" spans="1:13" x14ac:dyDescent="0.3">
      <c r="A116" s="2" t="s">
        <v>115</v>
      </c>
      <c r="B116" s="3">
        <v>467089.7</v>
      </c>
      <c r="C116" s="3">
        <v>40990.699999999997</v>
      </c>
      <c r="D116" s="3">
        <v>508089.3</v>
      </c>
      <c r="E116" s="3">
        <v>4478</v>
      </c>
      <c r="F116" s="3">
        <v>512567.3</v>
      </c>
      <c r="G116" s="3">
        <v>1821</v>
      </c>
      <c r="H116" s="3">
        <v>514403.9</v>
      </c>
      <c r="I116" s="3">
        <v>508089.3</v>
      </c>
      <c r="J116" s="3">
        <v>514403.9</v>
      </c>
      <c r="K116" s="7">
        <f t="shared" ref="K116:L116" si="116">(SUM(I113:I116)-SUM(I109:I112))/SUM(I109:I112)*100</f>
        <v>3.0938496649756142</v>
      </c>
      <c r="L116" s="7">
        <f t="shared" si="116"/>
        <v>2.3385263071804614</v>
      </c>
      <c r="M116" s="10"/>
    </row>
    <row r="117" spans="1:13" x14ac:dyDescent="0.3">
      <c r="A117" s="2" t="s">
        <v>116</v>
      </c>
      <c r="B117" s="3">
        <v>469627.5</v>
      </c>
      <c r="C117" s="3">
        <v>41295.699999999997</v>
      </c>
      <c r="D117" s="3">
        <v>510930.2</v>
      </c>
      <c r="E117" s="3">
        <v>-49.6</v>
      </c>
      <c r="F117" s="3">
        <v>510880.6</v>
      </c>
      <c r="G117" s="3">
        <v>2177.1</v>
      </c>
      <c r="H117" s="3">
        <v>513076.8</v>
      </c>
      <c r="I117" s="3">
        <v>510930.2</v>
      </c>
      <c r="J117" s="3">
        <v>513076.8</v>
      </c>
      <c r="K117" s="7">
        <f t="shared" ref="K117:L117" si="117">(SUM(I114:I117)-SUM(I110:I113))/SUM(I110:I113)*100</f>
        <v>3.1761053353458935</v>
      </c>
      <c r="L117" s="7">
        <f t="shared" si="117"/>
        <v>1.9511433124385684</v>
      </c>
      <c r="M117" s="10"/>
    </row>
    <row r="118" spans="1:13" x14ac:dyDescent="0.3">
      <c r="A118" s="2" t="s">
        <v>117</v>
      </c>
      <c r="B118" s="3">
        <v>469870.3</v>
      </c>
      <c r="C118" s="3">
        <v>41491.699999999997</v>
      </c>
      <c r="D118" s="3">
        <v>511364</v>
      </c>
      <c r="E118" s="3">
        <v>4888.3999999999996</v>
      </c>
      <c r="F118" s="3">
        <v>516252.4</v>
      </c>
      <c r="G118" s="3">
        <v>929.5</v>
      </c>
      <c r="H118" s="3">
        <v>517205.9</v>
      </c>
      <c r="I118" s="3">
        <v>511364</v>
      </c>
      <c r="J118" s="3">
        <v>517205.9</v>
      </c>
      <c r="K118" s="7">
        <f t="shared" ref="K118:L118" si="118">(SUM(I115:I118)-SUM(I111:I114))/SUM(I111:I114)*100</f>
        <v>2.8154766194403011</v>
      </c>
      <c r="L118" s="7">
        <f t="shared" si="118"/>
        <v>1.1092816136619223</v>
      </c>
      <c r="M118" s="10"/>
    </row>
    <row r="119" spans="1:13" x14ac:dyDescent="0.3">
      <c r="A119" s="2" t="s">
        <v>118</v>
      </c>
      <c r="B119" s="3">
        <v>476543.6</v>
      </c>
      <c r="C119" s="3">
        <v>41556</v>
      </c>
      <c r="D119" s="3">
        <v>518107.4</v>
      </c>
      <c r="E119" s="3">
        <v>-4868.3</v>
      </c>
      <c r="F119" s="3">
        <v>513239.1</v>
      </c>
      <c r="G119" s="3">
        <v>3688.2</v>
      </c>
      <c r="H119" s="3">
        <v>516937.8</v>
      </c>
      <c r="I119" s="3">
        <v>518107.4</v>
      </c>
      <c r="J119" s="3">
        <v>516937.8</v>
      </c>
      <c r="K119" s="7">
        <f t="shared" ref="K119:L119" si="119">(SUM(I116:I119)-SUM(I112:I115))/SUM(I112:I115)*100</f>
        <v>2.5848543518957099</v>
      </c>
      <c r="L119" s="7">
        <f t="shared" si="119"/>
        <v>0.54817027516006223</v>
      </c>
      <c r="M119" s="10"/>
    </row>
    <row r="120" spans="1:13" x14ac:dyDescent="0.3">
      <c r="A120" s="2" t="s">
        <v>119</v>
      </c>
      <c r="B120" s="3">
        <v>477699</v>
      </c>
      <c r="C120" s="3">
        <v>41456.9</v>
      </c>
      <c r="D120" s="3">
        <v>519165.9</v>
      </c>
      <c r="E120" s="3">
        <v>-7783.8</v>
      </c>
      <c r="F120" s="3">
        <v>511382.1</v>
      </c>
      <c r="G120" s="3">
        <v>6999.1</v>
      </c>
      <c r="H120" s="3">
        <v>518379.1</v>
      </c>
      <c r="I120" s="3">
        <v>519165.9</v>
      </c>
      <c r="J120" s="3">
        <v>518379.1</v>
      </c>
      <c r="K120" s="7">
        <f t="shared" ref="K120:L120" si="120">(SUM(I117:I120)-SUM(I113:I116))/SUM(I113:I116)*100</f>
        <v>2.4919788161322858</v>
      </c>
      <c r="L120" s="7">
        <f t="shared" si="120"/>
        <v>0.65614604422146583</v>
      </c>
      <c r="M120" s="10"/>
    </row>
    <row r="121" spans="1:13" x14ac:dyDescent="0.3">
      <c r="A121" s="2" t="s">
        <v>120</v>
      </c>
      <c r="B121" s="3">
        <v>483044.7</v>
      </c>
      <c r="C121" s="3">
        <v>41283.300000000003</v>
      </c>
      <c r="D121" s="3">
        <v>524345.1</v>
      </c>
      <c r="E121" s="3">
        <v>-9382.1</v>
      </c>
      <c r="F121" s="3">
        <v>514963</v>
      </c>
      <c r="G121" s="3">
        <v>4869.3</v>
      </c>
      <c r="H121" s="3">
        <v>519834.2</v>
      </c>
      <c r="I121" s="3">
        <v>524345.1</v>
      </c>
      <c r="J121" s="3">
        <v>519834.2</v>
      </c>
      <c r="K121" s="7">
        <f t="shared" ref="K121:L121" si="121">(SUM(I118:I121)-SUM(I114:I117))/SUM(I114:I117)*100</f>
        <v>2.3138071557393651</v>
      </c>
      <c r="L121" s="7">
        <f t="shared" si="121"/>
        <v>0.64230001468579634</v>
      </c>
      <c r="M121" s="10"/>
    </row>
    <row r="122" spans="1:13" x14ac:dyDescent="0.3">
      <c r="A122" s="2" t="s">
        <v>121</v>
      </c>
      <c r="B122" s="3">
        <v>476161.2</v>
      </c>
      <c r="C122" s="3">
        <v>41442.199999999997</v>
      </c>
      <c r="D122" s="3">
        <v>517612</v>
      </c>
      <c r="E122" s="3">
        <v>-2685.8</v>
      </c>
      <c r="F122" s="3">
        <v>514926.2</v>
      </c>
      <c r="G122" s="3">
        <v>4757.8</v>
      </c>
      <c r="H122" s="3">
        <v>519682.7</v>
      </c>
      <c r="I122" s="3">
        <v>517612</v>
      </c>
      <c r="J122" s="3">
        <v>519682.7</v>
      </c>
      <c r="K122" s="7">
        <f t="shared" ref="K122:L122" si="122">(SUM(I119:I122)-SUM(I115:I118))/SUM(I115:I118)*100</f>
        <v>2.1293099662740449</v>
      </c>
      <c r="L122" s="7">
        <f t="shared" si="122"/>
        <v>0.74637924926426957</v>
      </c>
      <c r="M122" s="10"/>
    </row>
    <row r="123" spans="1:13" x14ac:dyDescent="0.3">
      <c r="A123" s="2" t="s">
        <v>122</v>
      </c>
      <c r="B123" s="3">
        <v>461797.1</v>
      </c>
      <c r="C123" s="3">
        <v>41671.9</v>
      </c>
      <c r="D123" s="3">
        <v>503461.2</v>
      </c>
      <c r="E123" s="3">
        <v>1062.5</v>
      </c>
      <c r="F123" s="3">
        <v>504523.7</v>
      </c>
      <c r="G123" s="3">
        <v>3602.3</v>
      </c>
      <c r="H123" s="3">
        <v>508129.5</v>
      </c>
      <c r="I123" s="3">
        <v>503461.2</v>
      </c>
      <c r="J123" s="3">
        <v>508129.5</v>
      </c>
      <c r="K123" s="7">
        <f t="shared" ref="K123:L123" si="123">(SUM(I120:I123)-SUM(I116:I119))/SUM(I116:I119)*100</f>
        <v>0.7856173537309854</v>
      </c>
      <c r="L123" s="7">
        <f t="shared" si="123"/>
        <v>0.21347729489425232</v>
      </c>
      <c r="M123" s="10"/>
    </row>
    <row r="124" spans="1:13" x14ac:dyDescent="0.3">
      <c r="A124" s="2" t="s">
        <v>123</v>
      </c>
      <c r="B124" s="3">
        <v>472362.5</v>
      </c>
      <c r="C124" s="3">
        <v>42256.5</v>
      </c>
      <c r="D124" s="3">
        <v>514615</v>
      </c>
      <c r="E124" s="3">
        <v>1255.5</v>
      </c>
      <c r="F124" s="3">
        <v>515870.5</v>
      </c>
      <c r="G124" s="3">
        <v>2803.2</v>
      </c>
      <c r="H124" s="3">
        <v>518673.6</v>
      </c>
      <c r="I124" s="3">
        <v>514615</v>
      </c>
      <c r="J124" s="3">
        <v>518673.6</v>
      </c>
      <c r="K124" s="7">
        <f t="shared" ref="K124:L124" si="124">(SUM(I121:I124)-SUM(I117:I120))/SUM(I117:I120)*100</f>
        <v>2.2616398831310291E-2</v>
      </c>
      <c r="L124" s="7">
        <f t="shared" si="124"/>
        <v>3.4876071819529147E-2</v>
      </c>
      <c r="M124" s="10"/>
    </row>
    <row r="125" spans="1:13" x14ac:dyDescent="0.3">
      <c r="A125" s="2" t="s">
        <v>124</v>
      </c>
      <c r="B125" s="3">
        <v>480455.4</v>
      </c>
      <c r="C125" s="3">
        <v>42319.7</v>
      </c>
      <c r="D125" s="3">
        <v>522778.3</v>
      </c>
      <c r="E125" s="3">
        <v>367.8</v>
      </c>
      <c r="F125" s="3">
        <v>523146.2</v>
      </c>
      <c r="G125" s="3">
        <v>5780.5</v>
      </c>
      <c r="H125" s="3">
        <v>528924.4</v>
      </c>
      <c r="I125" s="3">
        <v>522778.3</v>
      </c>
      <c r="J125" s="3">
        <v>528924.4</v>
      </c>
      <c r="K125" s="7">
        <f>(SUM(I122:I125)-SUM(I118:I121))/SUM(I118:I121)*100</f>
        <v>-0.70024231754210298</v>
      </c>
      <c r="L125" s="7">
        <f t="shared" ref="L125" si="125">(SUM(J122:J125)-SUM(J118:J121))/SUM(J118:J121)*100</f>
        <v>0.14732982782406476</v>
      </c>
      <c r="M125" s="10"/>
    </row>
    <row r="126" spans="1:13" x14ac:dyDescent="0.3">
      <c r="A126" s="2" t="s">
        <v>125</v>
      </c>
      <c r="B126" s="3">
        <v>487716.9</v>
      </c>
      <c r="C126" s="3">
        <v>43014.1</v>
      </c>
      <c r="D126" s="3">
        <v>530731.1</v>
      </c>
      <c r="E126" s="3">
        <v>3131.7</v>
      </c>
      <c r="F126" s="3">
        <v>533862.80000000005</v>
      </c>
      <c r="G126" s="3">
        <v>4366.8999999999996</v>
      </c>
      <c r="H126" s="3">
        <v>538229.6</v>
      </c>
      <c r="I126" s="3">
        <v>530731.1</v>
      </c>
      <c r="J126" s="3">
        <v>538229.6</v>
      </c>
      <c r="K126" s="7">
        <f t="shared" ref="K126:L126" si="126">(SUM(I123:I126)-SUM(I119:I122))/SUM(I119:I122)*100</f>
        <v>-0.36767450110386107</v>
      </c>
      <c r="L126" s="7">
        <f t="shared" si="126"/>
        <v>0.92167864240500996</v>
      </c>
      <c r="M126" s="10"/>
    </row>
    <row r="127" spans="1:13" x14ac:dyDescent="0.3">
      <c r="A127" s="2" t="s">
        <v>126</v>
      </c>
      <c r="B127" s="3">
        <v>492991.7</v>
      </c>
      <c r="C127" s="3">
        <v>45128.3</v>
      </c>
      <c r="D127" s="3">
        <v>538119.9</v>
      </c>
      <c r="E127" s="3">
        <v>-4786.7</v>
      </c>
      <c r="F127" s="3">
        <v>533333.19999999995</v>
      </c>
      <c r="G127" s="3">
        <v>11116</v>
      </c>
      <c r="H127" s="3">
        <v>544449.19999999995</v>
      </c>
      <c r="I127" s="3">
        <v>538119.9</v>
      </c>
      <c r="J127" s="3">
        <v>544449.19999999995</v>
      </c>
      <c r="K127" s="7">
        <f t="shared" ref="K127:L127" si="127">(SUM(I124:I127)-SUM(I120:I123))/SUM(I120:I123)*100</f>
        <v>2.0178445616313381</v>
      </c>
      <c r="L127" s="7">
        <f t="shared" si="127"/>
        <v>3.1098986919570843</v>
      </c>
      <c r="M127" s="10"/>
    </row>
    <row r="128" spans="1:13" x14ac:dyDescent="0.3">
      <c r="A128" s="2" t="s">
        <v>127</v>
      </c>
      <c r="B128" s="3">
        <v>494546.5</v>
      </c>
      <c r="C128" s="3">
        <v>43561.1</v>
      </c>
      <c r="D128" s="3">
        <v>538107.6</v>
      </c>
      <c r="E128" s="3">
        <v>-6182</v>
      </c>
      <c r="F128" s="3">
        <v>531925.69999999995</v>
      </c>
      <c r="G128" s="3">
        <v>2305.1</v>
      </c>
      <c r="H128" s="3">
        <v>534230.80000000005</v>
      </c>
      <c r="I128" s="3">
        <v>538107.6</v>
      </c>
      <c r="J128" s="3">
        <v>534230.80000000005</v>
      </c>
      <c r="K128" s="7">
        <f t="shared" ref="K128:L128" si="128">(SUM(I125:I128)-SUM(I121:I124))/SUM(I121:I124)*100</f>
        <v>3.3836152066085465</v>
      </c>
      <c r="L128" s="7">
        <f t="shared" si="128"/>
        <v>3.8480971001587365</v>
      </c>
      <c r="M128" s="10"/>
    </row>
    <row r="129" spans="1:13" x14ac:dyDescent="0.3">
      <c r="A129" s="2" t="s">
        <v>128</v>
      </c>
      <c r="B129" s="3">
        <v>501937.4</v>
      </c>
      <c r="C129" s="3">
        <v>44526.9</v>
      </c>
      <c r="D129" s="3">
        <v>546464.30000000005</v>
      </c>
      <c r="E129" s="3">
        <v>-13783.1</v>
      </c>
      <c r="F129" s="3">
        <v>532681.19999999995</v>
      </c>
      <c r="G129" s="3">
        <v>4765.7</v>
      </c>
      <c r="H129" s="3">
        <v>537446.9</v>
      </c>
      <c r="I129" s="3">
        <v>546464.30000000005</v>
      </c>
      <c r="J129" s="3">
        <v>537446.9</v>
      </c>
      <c r="K129" s="7">
        <f t="shared" ref="K129:L129" si="129">(SUM(I126:I129)-SUM(I122:I125))/SUM(I122:I125)*100</f>
        <v>4.6129679545428779</v>
      </c>
      <c r="L129" s="7">
        <f t="shared" si="129"/>
        <v>3.8038889854160054</v>
      </c>
      <c r="M129" s="10"/>
    </row>
    <row r="130" spans="1:13" x14ac:dyDescent="0.3">
      <c r="A130" s="2" t="s">
        <v>129</v>
      </c>
      <c r="B130" s="3">
        <v>504968.7</v>
      </c>
      <c r="C130" s="3">
        <v>43594.1</v>
      </c>
      <c r="D130" s="3">
        <v>548545.80000000005</v>
      </c>
      <c r="E130" s="3">
        <v>-12841.5</v>
      </c>
      <c r="F130" s="3">
        <v>535704.30000000005</v>
      </c>
      <c r="G130" s="3">
        <v>4967.7</v>
      </c>
      <c r="H130" s="3">
        <v>540673.69999999995</v>
      </c>
      <c r="I130" s="3">
        <v>548545.80000000005</v>
      </c>
      <c r="J130" s="3">
        <v>540673.69999999995</v>
      </c>
      <c r="K130" s="7">
        <f t="shared" ref="K130:L130" si="130">(SUM(I127:I130)-SUM(I123:I126))/SUM(I123:I126)*100</f>
        <v>4.8104215437682125</v>
      </c>
      <c r="L130" s="7">
        <f t="shared" si="130"/>
        <v>3.0011837396286452</v>
      </c>
      <c r="M130" s="10"/>
    </row>
    <row r="131" spans="1:13" x14ac:dyDescent="0.3">
      <c r="A131" s="2" t="s">
        <v>130</v>
      </c>
      <c r="B131" s="3">
        <v>510173.2</v>
      </c>
      <c r="C131" s="3">
        <v>43251.3</v>
      </c>
      <c r="D131" s="3">
        <v>553397.80000000005</v>
      </c>
      <c r="E131" s="3">
        <v>-22655.3</v>
      </c>
      <c r="F131" s="3">
        <v>530742.5</v>
      </c>
      <c r="G131" s="3">
        <v>6921.4</v>
      </c>
      <c r="H131" s="3">
        <v>537660</v>
      </c>
      <c r="I131" s="3">
        <v>553397.80000000005</v>
      </c>
      <c r="J131" s="3">
        <v>537660</v>
      </c>
      <c r="K131" s="7">
        <f t="shared" ref="K131:L131" si="131">(SUM(I128:I131)-SUM(I124:I127))/SUM(I124:I127)*100</f>
        <v>3.8111058626959937</v>
      </c>
      <c r="L131" s="7">
        <f t="shared" si="131"/>
        <v>0.92638665548066612</v>
      </c>
      <c r="M131" s="10"/>
    </row>
    <row r="132" spans="1:13" x14ac:dyDescent="0.3">
      <c r="A132" s="2" t="s">
        <v>131</v>
      </c>
      <c r="B132" s="3">
        <v>512988.7</v>
      </c>
      <c r="C132" s="3">
        <v>43172.2</v>
      </c>
      <c r="D132" s="3">
        <v>556130.30000000005</v>
      </c>
      <c r="E132" s="3">
        <v>-30988.400000000001</v>
      </c>
      <c r="F132" s="3">
        <v>525142</v>
      </c>
      <c r="G132" s="3">
        <v>6643.9</v>
      </c>
      <c r="H132" s="3">
        <v>531781.9</v>
      </c>
      <c r="I132" s="3">
        <v>556130.30000000005</v>
      </c>
      <c r="J132" s="3">
        <v>531781.9</v>
      </c>
      <c r="K132" s="7">
        <f t="shared" ref="K132:L132" si="132">(SUM(I129:I132)-SUM(I125:I128))/SUM(I125:I128)*100</f>
        <v>3.5122319569145035</v>
      </c>
      <c r="L132" s="7">
        <f t="shared" si="132"/>
        <v>8.0551431284992217E-2</v>
      </c>
      <c r="M132" s="10"/>
    </row>
    <row r="133" spans="1:13" x14ac:dyDescent="0.3">
      <c r="A133" s="2" t="s">
        <v>132</v>
      </c>
      <c r="B133" s="3">
        <v>512010.6</v>
      </c>
      <c r="C133" s="3">
        <v>42116.6</v>
      </c>
      <c r="D133" s="3">
        <v>554084.9</v>
      </c>
      <c r="E133" s="3">
        <v>-28138.2</v>
      </c>
      <c r="F133" s="3">
        <v>525946.69999999995</v>
      </c>
      <c r="G133" s="3">
        <v>7051.2</v>
      </c>
      <c r="H133" s="3">
        <v>532991.9</v>
      </c>
      <c r="I133" s="3">
        <v>554084.9</v>
      </c>
      <c r="J133" s="3">
        <v>532991.9</v>
      </c>
      <c r="K133" s="7">
        <f t="shared" ref="K133:L133" si="133">(SUM(I130:I133)-SUM(I126:I129))/SUM(I126:I129)*100</f>
        <v>2.7275599233202126</v>
      </c>
      <c r="L133" s="7">
        <f t="shared" si="133"/>
        <v>-0.52215127811947559</v>
      </c>
      <c r="M133" s="10"/>
    </row>
    <row r="134" spans="1:13" x14ac:dyDescent="0.3">
      <c r="A134" s="2" t="s">
        <v>133</v>
      </c>
      <c r="B134" s="3">
        <v>514292.2</v>
      </c>
      <c r="C134" s="3">
        <v>41831.199999999997</v>
      </c>
      <c r="D134" s="3">
        <v>556056.4</v>
      </c>
      <c r="E134" s="3">
        <v>-26571.3</v>
      </c>
      <c r="F134" s="3">
        <v>529485.1</v>
      </c>
      <c r="G134" s="3">
        <v>8376.5</v>
      </c>
      <c r="H134" s="3">
        <v>537852.30000000005</v>
      </c>
      <c r="I134" s="3">
        <v>556056.4</v>
      </c>
      <c r="J134" s="3">
        <v>537852.30000000005</v>
      </c>
      <c r="K134" s="7">
        <f t="shared" ref="K134:L134" si="134">(SUM(I131:I134)-SUM(I127:I130))/SUM(I127:I130)*100</f>
        <v>2.2306080182104351</v>
      </c>
      <c r="L134" s="7">
        <f t="shared" si="134"/>
        <v>-0.76569433446930613</v>
      </c>
      <c r="M134" s="10"/>
    </row>
    <row r="135" spans="1:13" x14ac:dyDescent="0.3">
      <c r="A135" s="2" t="s">
        <v>134</v>
      </c>
      <c r="B135" s="3">
        <v>518455.9</v>
      </c>
      <c r="C135" s="3">
        <v>41493.5</v>
      </c>
      <c r="D135" s="3">
        <v>559865.59999999998</v>
      </c>
      <c r="E135" s="3">
        <v>-27917.8</v>
      </c>
      <c r="F135" s="3">
        <v>531947.80000000005</v>
      </c>
      <c r="G135" s="3">
        <v>6831.5</v>
      </c>
      <c r="H135" s="3">
        <v>538774.80000000005</v>
      </c>
      <c r="I135" s="3">
        <v>559865.59999999998</v>
      </c>
      <c r="J135" s="3">
        <v>538774.80000000005</v>
      </c>
      <c r="K135" s="7">
        <f t="shared" ref="K135:L135" si="135">(SUM(I132:I135)-SUM(I128:I131))/SUM(I128:I131)*100</f>
        <v>1.8120932598008195</v>
      </c>
      <c r="L135" s="7">
        <f t="shared" si="135"/>
        <v>-0.40048624858454235</v>
      </c>
      <c r="M135" s="10"/>
    </row>
    <row r="136" spans="1:13" x14ac:dyDescent="0.3">
      <c r="A136" s="2" t="s">
        <v>135</v>
      </c>
      <c r="B136" s="3">
        <v>523362.5</v>
      </c>
      <c r="C136" s="3">
        <v>40987.300000000003</v>
      </c>
      <c r="D136" s="3">
        <v>564243.5</v>
      </c>
      <c r="E136" s="3">
        <v>-20035.8</v>
      </c>
      <c r="F136" s="3">
        <v>544207.6</v>
      </c>
      <c r="G136" s="3">
        <v>7108.3</v>
      </c>
      <c r="H136" s="3">
        <v>551316.9</v>
      </c>
      <c r="I136" s="3">
        <v>564243.5</v>
      </c>
      <c r="J136" s="3">
        <v>551316.9</v>
      </c>
      <c r="K136" s="7">
        <f t="shared" ref="K136:L136" si="136">(SUM(I133:I136)-SUM(I129:I132))/SUM(I129:I132)*100</f>
        <v>1.3477743320573767</v>
      </c>
      <c r="L136" s="7">
        <f t="shared" si="136"/>
        <v>0.62272460056461088</v>
      </c>
      <c r="M136" s="10"/>
    </row>
    <row r="137" spans="1:13" x14ac:dyDescent="0.3">
      <c r="A137" s="2" t="s">
        <v>136</v>
      </c>
      <c r="B137" s="3">
        <v>525449.9</v>
      </c>
      <c r="C137" s="3">
        <v>41657</v>
      </c>
      <c r="D137" s="3">
        <v>567012.30000000005</v>
      </c>
      <c r="E137" s="3">
        <v>-17135</v>
      </c>
      <c r="F137" s="3">
        <v>549877.30000000005</v>
      </c>
      <c r="G137" s="3">
        <v>8767.1</v>
      </c>
      <c r="H137" s="3">
        <v>558635.19999999995</v>
      </c>
      <c r="I137" s="3">
        <v>567012.30000000005</v>
      </c>
      <c r="J137" s="3">
        <v>558635.19999999995</v>
      </c>
      <c r="K137" s="7">
        <f t="shared" ref="K137:L137" si="137">(SUM(I134:I137)-SUM(I130:I133))/SUM(I130:I133)*100</f>
        <v>1.583023786538269</v>
      </c>
      <c r="L137" s="7">
        <f t="shared" si="137"/>
        <v>2.0284423436528587</v>
      </c>
      <c r="M137" s="10"/>
    </row>
    <row r="138" spans="1:13" x14ac:dyDescent="0.3">
      <c r="A138" s="2" t="s">
        <v>137</v>
      </c>
      <c r="B138" s="3">
        <v>530711.80000000005</v>
      </c>
      <c r="C138" s="3">
        <v>43069.9</v>
      </c>
      <c r="D138" s="3">
        <v>573667.30000000005</v>
      </c>
      <c r="E138" s="3">
        <v>-13222.9</v>
      </c>
      <c r="F138" s="3">
        <v>560444.4</v>
      </c>
      <c r="G138" s="3">
        <v>7889.1</v>
      </c>
      <c r="H138" s="3">
        <v>568327.80000000005</v>
      </c>
      <c r="I138" s="3">
        <v>573667.30000000005</v>
      </c>
      <c r="J138" s="3">
        <v>568327.80000000005</v>
      </c>
      <c r="K138" s="7">
        <f t="shared" ref="K138:L138" si="138">(SUM(I135:I138)-SUM(I131:I134))/SUM(I131:I134)*100</f>
        <v>2.0327036089248374</v>
      </c>
      <c r="L138" s="7">
        <f t="shared" si="138"/>
        <v>3.5868382269081027</v>
      </c>
      <c r="M138" s="10"/>
    </row>
    <row r="139" spans="1:13" x14ac:dyDescent="0.3">
      <c r="A139" s="2" t="s">
        <v>138</v>
      </c>
      <c r="B139" s="3">
        <v>530834</v>
      </c>
      <c r="C139" s="3">
        <v>41588.800000000003</v>
      </c>
      <c r="D139" s="3">
        <v>572357.1</v>
      </c>
      <c r="E139" s="3">
        <v>-14250</v>
      </c>
      <c r="F139" s="3">
        <v>558107.19999999995</v>
      </c>
      <c r="G139" s="3">
        <v>7356.8</v>
      </c>
      <c r="H139" s="3">
        <v>565458.80000000005</v>
      </c>
      <c r="I139" s="3">
        <v>572357.1</v>
      </c>
      <c r="J139" s="3">
        <v>565458.80000000005</v>
      </c>
      <c r="K139" s="7">
        <f t="shared" ref="K139:L139" si="139">(SUM(I136:I139)-SUM(I132:I135))/SUM(I132:I135)*100</f>
        <v>2.2973876003689258</v>
      </c>
      <c r="L139" s="7">
        <f t="shared" si="139"/>
        <v>4.779011720785201</v>
      </c>
      <c r="M139" s="10"/>
    </row>
    <row r="140" spans="1:13" x14ac:dyDescent="0.3">
      <c r="A140" s="2" t="s">
        <v>139</v>
      </c>
      <c r="B140" s="3">
        <v>531819.1</v>
      </c>
      <c r="C140" s="3">
        <v>41094.1</v>
      </c>
      <c r="D140" s="3">
        <v>572866.1</v>
      </c>
      <c r="E140" s="3">
        <v>-13567.6</v>
      </c>
      <c r="F140" s="3">
        <v>559298.5</v>
      </c>
      <c r="G140" s="3">
        <v>8126</v>
      </c>
      <c r="H140" s="3">
        <v>567418.4</v>
      </c>
      <c r="I140" s="3">
        <v>572866.1</v>
      </c>
      <c r="J140" s="3">
        <v>567418.4</v>
      </c>
      <c r="K140" s="7">
        <f t="shared" ref="K140:L140" si="140">(SUM(I137:I140)-SUM(I133:I136))/SUM(I133:I136)*100</f>
        <v>2.3118447242977052</v>
      </c>
      <c r="L140" s="7">
        <f t="shared" si="140"/>
        <v>4.5769196578204747</v>
      </c>
      <c r="M140" s="10"/>
    </row>
    <row r="141" spans="1:13" x14ac:dyDescent="0.3">
      <c r="A141" s="2" t="s">
        <v>140</v>
      </c>
      <c r="B141" s="3">
        <v>531090.19999999995</v>
      </c>
      <c r="C141" s="3">
        <v>42310.2</v>
      </c>
      <c r="D141" s="3">
        <v>573311.80000000005</v>
      </c>
      <c r="E141" s="3">
        <v>-10839.1</v>
      </c>
      <c r="F141" s="3">
        <v>562472.69999999995</v>
      </c>
      <c r="G141" s="3">
        <v>8929.6</v>
      </c>
      <c r="H141" s="3">
        <v>571396.1</v>
      </c>
      <c r="I141" s="3">
        <v>573311.80000000005</v>
      </c>
      <c r="J141" s="3">
        <v>571396.1</v>
      </c>
      <c r="K141" s="7">
        <f t="shared" ref="K141:L141" si="141">(SUM(I138:I141)-SUM(I134:I137))/SUM(I134:I137)*100</f>
        <v>2.0036020291763297</v>
      </c>
      <c r="L141" s="7">
        <f t="shared" si="141"/>
        <v>3.9340857170872159</v>
      </c>
      <c r="M141" s="10"/>
    </row>
    <row r="142" spans="1:13" x14ac:dyDescent="0.3">
      <c r="A142" s="2" t="s">
        <v>141</v>
      </c>
      <c r="B142" s="3">
        <v>530360</v>
      </c>
      <c r="C142" s="3">
        <v>41771.699999999997</v>
      </c>
      <c r="D142" s="3">
        <v>572057.69999999995</v>
      </c>
      <c r="E142" s="3">
        <v>-13027.6</v>
      </c>
      <c r="F142" s="3">
        <v>559030.1</v>
      </c>
      <c r="G142" s="3">
        <v>12953.6</v>
      </c>
      <c r="H142" s="3">
        <v>571969.69999999995</v>
      </c>
      <c r="I142" s="3">
        <v>572057.69999999995</v>
      </c>
      <c r="J142" s="3">
        <v>571969.69999999995</v>
      </c>
      <c r="K142" s="7">
        <f t="shared" ref="K142:L142" si="142">(SUM(I139:I142)-SUM(I135:I138))/SUM(I135:I138)*100</f>
        <v>1.1393557376897896</v>
      </c>
      <c r="L142" s="7">
        <f t="shared" si="142"/>
        <v>2.6696815374018428</v>
      </c>
      <c r="M142" s="10"/>
    </row>
    <row r="143" spans="1:13" x14ac:dyDescent="0.3">
      <c r="A143" s="2" t="s">
        <v>142</v>
      </c>
      <c r="B143" s="3">
        <v>535172.80000000005</v>
      </c>
      <c r="C143" s="3">
        <v>40784</v>
      </c>
      <c r="D143" s="3">
        <v>575918.30000000005</v>
      </c>
      <c r="E143" s="3">
        <v>-8594</v>
      </c>
      <c r="F143" s="3">
        <v>567324.30000000005</v>
      </c>
      <c r="G143" s="3">
        <v>10212.1</v>
      </c>
      <c r="H143" s="3">
        <v>577525.80000000005</v>
      </c>
      <c r="I143" s="3">
        <v>575918.30000000005</v>
      </c>
      <c r="J143" s="3">
        <v>577525.80000000005</v>
      </c>
      <c r="K143" s="7">
        <f t="shared" ref="K143:L143" si="143">(SUM(I140:I143)-SUM(I136:I139))/SUM(I136:I139)*100</f>
        <v>0.7409584468349445</v>
      </c>
      <c r="L143" s="7">
        <f t="shared" si="143"/>
        <v>1.9864746282621863</v>
      </c>
      <c r="M143" s="10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305F-5FD6-4B17-85E9-953C7D4073FC}">
  <dimension ref="A1:H13"/>
  <sheetViews>
    <sheetView workbookViewId="0">
      <selection sqref="A1:C9"/>
    </sheetView>
  </sheetViews>
  <sheetFormatPr defaultRowHeight="16.5" x14ac:dyDescent="0.3"/>
  <sheetData>
    <row r="1" spans="1:8" x14ac:dyDescent="0.3">
      <c r="B1" t="s">
        <v>242</v>
      </c>
      <c r="C1" t="s">
        <v>243</v>
      </c>
    </row>
    <row r="2" spans="1:8" x14ac:dyDescent="0.3">
      <c r="A2" t="s">
        <v>234</v>
      </c>
      <c r="B2" s="11">
        <v>0.57999999999999996</v>
      </c>
      <c r="C2" s="11">
        <v>0.64</v>
      </c>
      <c r="D2" t="s">
        <v>246</v>
      </c>
    </row>
    <row r="3" spans="1:8" x14ac:dyDescent="0.3">
      <c r="A3" t="s">
        <v>235</v>
      </c>
      <c r="B3" s="11">
        <v>0.78</v>
      </c>
      <c r="C3" s="11">
        <v>0.6</v>
      </c>
    </row>
    <row r="4" spans="1:8" x14ac:dyDescent="0.3">
      <c r="A4" t="s">
        <v>236</v>
      </c>
      <c r="B4" s="11">
        <v>0.72</v>
      </c>
      <c r="C4" s="11">
        <v>0.68</v>
      </c>
    </row>
    <row r="5" spans="1:8" x14ac:dyDescent="0.3">
      <c r="A5" t="s">
        <v>237</v>
      </c>
      <c r="B5" s="11">
        <v>0.44</v>
      </c>
      <c r="C5" s="11">
        <v>0.5</v>
      </c>
    </row>
    <row r="6" spans="1:8" x14ac:dyDescent="0.3">
      <c r="A6" t="s">
        <v>238</v>
      </c>
      <c r="B6" s="11">
        <v>0.56999999999999995</v>
      </c>
      <c r="C6" s="11">
        <v>0.84</v>
      </c>
    </row>
    <row r="7" spans="1:8" x14ac:dyDescent="0.3">
      <c r="A7" t="s">
        <v>239</v>
      </c>
      <c r="B7" s="11">
        <v>0.56999999999999995</v>
      </c>
      <c r="C7" s="11">
        <v>0.47</v>
      </c>
    </row>
    <row r="8" spans="1:8" x14ac:dyDescent="0.3">
      <c r="A8" t="s">
        <v>240</v>
      </c>
      <c r="B8" s="11">
        <v>0.5</v>
      </c>
      <c r="C8" s="11">
        <v>0.48</v>
      </c>
    </row>
    <row r="9" spans="1:8" x14ac:dyDescent="0.3">
      <c r="A9" t="s">
        <v>241</v>
      </c>
      <c r="B9" s="11">
        <v>0.9</v>
      </c>
      <c r="C9" s="11">
        <v>0.56999999999999995</v>
      </c>
      <c r="D9" t="s">
        <v>245</v>
      </c>
      <c r="E9" t="s">
        <v>244</v>
      </c>
    </row>
    <row r="12" spans="1:8" x14ac:dyDescent="0.3">
      <c r="B12" s="11">
        <v>0.78</v>
      </c>
      <c r="C12" s="11">
        <v>0.72</v>
      </c>
      <c r="D12" s="11">
        <v>0.44</v>
      </c>
      <c r="E12" s="11">
        <v>0.56999999999999995</v>
      </c>
      <c r="F12" s="11">
        <v>0.56999999999999995</v>
      </c>
      <c r="G12" s="11">
        <v>0.5</v>
      </c>
      <c r="H12" s="11">
        <v>0.9</v>
      </c>
    </row>
    <row r="13" spans="1:8" x14ac:dyDescent="0.3">
      <c r="B13" s="11">
        <v>0.6</v>
      </c>
      <c r="C13" s="11">
        <v>0.68</v>
      </c>
      <c r="D13" s="11">
        <v>0.5</v>
      </c>
      <c r="E13" s="11">
        <v>0.84</v>
      </c>
      <c r="F13" s="11">
        <v>0.47</v>
      </c>
      <c r="G13" s="11">
        <v>0.48</v>
      </c>
      <c r="H13" s="11">
        <v>0.56999999999999995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27A6-FEBB-4CF3-A3A6-79362C6D4464}">
  <dimension ref="A1:I22"/>
  <sheetViews>
    <sheetView tabSelected="1" topLeftCell="A7" workbookViewId="0">
      <selection activeCell="A21" activeCellId="1" sqref="A17:I17 A21:I22"/>
    </sheetView>
  </sheetViews>
  <sheetFormatPr defaultRowHeight="16.5" x14ac:dyDescent="0.3"/>
  <sheetData>
    <row r="1" spans="1:7" x14ac:dyDescent="0.3">
      <c r="D1" t="s">
        <v>247</v>
      </c>
      <c r="E1" t="s">
        <v>247</v>
      </c>
      <c r="F1" t="s">
        <v>268</v>
      </c>
      <c r="G1" t="s">
        <v>268</v>
      </c>
    </row>
    <row r="2" spans="1:7" x14ac:dyDescent="0.3">
      <c r="D2" t="s">
        <v>242</v>
      </c>
      <c r="E2" t="s">
        <v>248</v>
      </c>
      <c r="F2" t="s">
        <v>242</v>
      </c>
      <c r="G2" t="s">
        <v>248</v>
      </c>
    </row>
    <row r="3" spans="1:7" x14ac:dyDescent="0.3">
      <c r="A3" t="s">
        <v>235</v>
      </c>
      <c r="B3" t="s">
        <v>249</v>
      </c>
      <c r="C3" t="s">
        <v>254</v>
      </c>
      <c r="D3" t="s">
        <v>262</v>
      </c>
      <c r="E3" t="s">
        <v>260</v>
      </c>
    </row>
    <row r="4" spans="1:7" x14ac:dyDescent="0.3">
      <c r="A4" t="s">
        <v>236</v>
      </c>
      <c r="B4" t="s">
        <v>250</v>
      </c>
      <c r="C4" t="s">
        <v>254</v>
      </c>
      <c r="D4" t="s">
        <v>261</v>
      </c>
      <c r="E4" t="s">
        <v>260</v>
      </c>
    </row>
    <row r="5" spans="1:7" x14ac:dyDescent="0.3">
      <c r="A5" t="s">
        <v>237</v>
      </c>
      <c r="B5" t="s">
        <v>252</v>
      </c>
      <c r="C5" t="s">
        <v>258</v>
      </c>
      <c r="D5" t="s">
        <v>263</v>
      </c>
      <c r="E5" t="s">
        <v>266</v>
      </c>
      <c r="G5" t="s">
        <v>265</v>
      </c>
    </row>
    <row r="6" spans="1:7" x14ac:dyDescent="0.3">
      <c r="A6" t="s">
        <v>238</v>
      </c>
      <c r="B6" t="s">
        <v>251</v>
      </c>
      <c r="C6" t="s">
        <v>257</v>
      </c>
      <c r="D6" t="s">
        <v>261</v>
      </c>
      <c r="E6" t="s">
        <v>264</v>
      </c>
    </row>
    <row r="7" spans="1:7" x14ac:dyDescent="0.3">
      <c r="A7" t="s">
        <v>239</v>
      </c>
      <c r="B7" t="s">
        <v>251</v>
      </c>
      <c r="C7" t="s">
        <v>256</v>
      </c>
      <c r="D7" t="s">
        <v>261</v>
      </c>
      <c r="E7" t="s">
        <v>261</v>
      </c>
      <c r="G7" t="s">
        <v>261</v>
      </c>
    </row>
    <row r="8" spans="1:7" x14ac:dyDescent="0.3">
      <c r="A8" t="s">
        <v>240</v>
      </c>
      <c r="B8" t="s">
        <v>253</v>
      </c>
      <c r="C8" t="s">
        <v>255</v>
      </c>
      <c r="D8" t="s">
        <v>266</v>
      </c>
      <c r="E8" t="s">
        <v>265</v>
      </c>
      <c r="F8" t="s">
        <v>267</v>
      </c>
    </row>
    <row r="9" spans="1:7" x14ac:dyDescent="0.3">
      <c r="A9" t="s">
        <v>241</v>
      </c>
      <c r="B9" t="s">
        <v>253</v>
      </c>
      <c r="C9" t="s">
        <v>259</v>
      </c>
      <c r="D9" t="s">
        <v>266</v>
      </c>
      <c r="E9" t="s">
        <v>266</v>
      </c>
      <c r="F9" t="s">
        <v>267</v>
      </c>
      <c r="G9" t="s">
        <v>267</v>
      </c>
    </row>
    <row r="17" spans="1:9" x14ac:dyDescent="0.3">
      <c r="A17" t="s">
        <v>269</v>
      </c>
      <c r="B17">
        <v>14</v>
      </c>
      <c r="C17">
        <v>15</v>
      </c>
      <c r="D17">
        <v>16</v>
      </c>
      <c r="E17">
        <v>17</v>
      </c>
      <c r="F17">
        <v>18</v>
      </c>
      <c r="G17">
        <v>19</v>
      </c>
      <c r="H17">
        <v>20</v>
      </c>
      <c r="I17">
        <v>21</v>
      </c>
    </row>
    <row r="18" spans="1:9" x14ac:dyDescent="0.3">
      <c r="C18" t="s">
        <v>249</v>
      </c>
      <c r="D18" t="s">
        <v>250</v>
      </c>
      <c r="E18" t="s">
        <v>252</v>
      </c>
      <c r="F18" t="s">
        <v>251</v>
      </c>
      <c r="G18" t="s">
        <v>251</v>
      </c>
      <c r="H18" t="s">
        <v>253</v>
      </c>
      <c r="I18" t="s">
        <v>253</v>
      </c>
    </row>
    <row r="19" spans="1:9" x14ac:dyDescent="0.3">
      <c r="C19" t="s">
        <v>254</v>
      </c>
      <c r="D19" t="s">
        <v>254</v>
      </c>
      <c r="E19" t="s">
        <v>258</v>
      </c>
      <c r="F19" t="s">
        <v>257</v>
      </c>
      <c r="G19" t="s">
        <v>256</v>
      </c>
      <c r="H19" t="s">
        <v>255</v>
      </c>
      <c r="I19" t="s">
        <v>259</v>
      </c>
    </row>
    <row r="20" spans="1:9" x14ac:dyDescent="0.3">
      <c r="B20">
        <v>1992</v>
      </c>
      <c r="C20">
        <f t="shared" ref="C20:H20" si="0">B20+5</f>
        <v>1997</v>
      </c>
      <c r="D20">
        <f t="shared" si="0"/>
        <v>2002</v>
      </c>
      <c r="E20">
        <f t="shared" si="0"/>
        <v>2007</v>
      </c>
      <c r="F20">
        <f t="shared" si="0"/>
        <v>2012</v>
      </c>
      <c r="G20" s="8">
        <f t="shared" si="0"/>
        <v>2017</v>
      </c>
      <c r="H20" s="8">
        <f t="shared" si="0"/>
        <v>2022</v>
      </c>
      <c r="I20" s="9">
        <f>H20+3</f>
        <v>2025</v>
      </c>
    </row>
    <row r="21" spans="1:9" x14ac:dyDescent="0.3">
      <c r="A21">
        <v>4</v>
      </c>
      <c r="B21" t="str">
        <f>B20-1&amp;".4/4"</f>
        <v>1991.4/4</v>
      </c>
      <c r="C21" t="str">
        <f>C20-1&amp;".4/4"</f>
        <v>1996.4/4</v>
      </c>
      <c r="D21" t="str">
        <f>D20-1&amp;".4/4"</f>
        <v>2001.4/4</v>
      </c>
      <c r="E21" t="str">
        <f>E20-1&amp;".4/4"</f>
        <v>2006.4/4</v>
      </c>
      <c r="F21" t="str">
        <f>F20-1&amp;".4/4"</f>
        <v>2011.4/4</v>
      </c>
      <c r="G21" t="s">
        <v>228</v>
      </c>
      <c r="H21" t="s">
        <v>230</v>
      </c>
      <c r="I21" t="s">
        <v>232</v>
      </c>
    </row>
    <row r="22" spans="1:9" x14ac:dyDescent="0.3">
      <c r="A22">
        <v>5</v>
      </c>
      <c r="B22" t="str">
        <f>B20&amp;".4/4"</f>
        <v>1992.4/4</v>
      </c>
      <c r="C22" t="str">
        <f>C20&amp;".4/4"</f>
        <v>1997.4/4</v>
      </c>
      <c r="D22" t="str">
        <f>D20&amp;".4/4"</f>
        <v>2002.4/4</v>
      </c>
      <c r="E22" t="str">
        <f>E20&amp;".4/4"</f>
        <v>2007.4/4</v>
      </c>
      <c r="F22" t="str">
        <f>F20&amp;".4/4"</f>
        <v>2012.4/4</v>
      </c>
      <c r="G22" t="s">
        <v>229</v>
      </c>
      <c r="H22" t="s">
        <v>231</v>
      </c>
      <c r="I22" t="s">
        <v>233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6.5" x14ac:dyDescent="0.3"/>
  <sheetData>
    <row r="1" spans="1:2" x14ac:dyDescent="0.3">
      <c r="A1" s="6" t="s">
        <v>196</v>
      </c>
      <c r="B1" s="6" t="s">
        <v>197</v>
      </c>
    </row>
    <row r="2" spans="1:2" x14ac:dyDescent="0.3">
      <c r="A2" s="6" t="s">
        <v>198</v>
      </c>
      <c r="B2" s="6" t="s">
        <v>199</v>
      </c>
    </row>
    <row r="3" spans="1:2" x14ac:dyDescent="0.3">
      <c r="A3" s="6" t="s">
        <v>200</v>
      </c>
      <c r="B3" s="6" t="s">
        <v>201</v>
      </c>
    </row>
    <row r="4" spans="1:2" x14ac:dyDescent="0.3">
      <c r="A4" s="6" t="s">
        <v>202</v>
      </c>
      <c r="B4" s="6" t="s">
        <v>203</v>
      </c>
    </row>
    <row r="5" spans="1:2" x14ac:dyDescent="0.3">
      <c r="A5" s="6" t="s">
        <v>204</v>
      </c>
      <c r="B5" s="6" t="s">
        <v>205</v>
      </c>
    </row>
    <row r="6" spans="1:2" x14ac:dyDescent="0.3">
      <c r="A6" s="6" t="s">
        <v>206</v>
      </c>
      <c r="B6" s="6" t="s">
        <v>207</v>
      </c>
    </row>
    <row r="7" spans="1:2" x14ac:dyDescent="0.3">
      <c r="A7" s="6" t="s">
        <v>208</v>
      </c>
      <c r="B7" s="6" t="s">
        <v>209</v>
      </c>
    </row>
    <row r="8" spans="1:2" x14ac:dyDescent="0.3">
      <c r="A8" s="6" t="s">
        <v>210</v>
      </c>
      <c r="B8" s="6" t="s">
        <v>211</v>
      </c>
    </row>
    <row r="9" spans="1:2" x14ac:dyDescent="0.3">
      <c r="A9" s="6" t="s">
        <v>212</v>
      </c>
    </row>
    <row r="10" spans="1:2" x14ac:dyDescent="0.3">
      <c r="A10" s="6" t="s">
        <v>213</v>
      </c>
      <c r="B10" s="6" t="s">
        <v>214</v>
      </c>
    </row>
    <row r="11" spans="1:2" x14ac:dyDescent="0.3">
      <c r="A11" s="6" t="s">
        <v>208</v>
      </c>
      <c r="B11" s="6" t="s">
        <v>215</v>
      </c>
    </row>
    <row r="12" spans="1:2" x14ac:dyDescent="0.3">
      <c r="A12" s="6" t="s">
        <v>208</v>
      </c>
      <c r="B12" s="6" t="s">
        <v>216</v>
      </c>
    </row>
    <row r="13" spans="1:2" x14ac:dyDescent="0.3">
      <c r="A13" s="6" t="s">
        <v>208</v>
      </c>
      <c r="B13" s="6" t="s">
        <v>217</v>
      </c>
    </row>
    <row r="14" spans="1:2" x14ac:dyDescent="0.3">
      <c r="A14" s="6" t="s">
        <v>208</v>
      </c>
      <c r="B14" s="6" t="s">
        <v>218</v>
      </c>
    </row>
    <row r="15" spans="1:2" x14ac:dyDescent="0.3">
      <c r="A15" s="6" t="s">
        <v>208</v>
      </c>
      <c r="B15" s="6" t="s">
        <v>219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데이터</vt:lpstr>
      <vt:lpstr>Sheet1</vt:lpstr>
      <vt:lpstr>primary</vt:lpstr>
      <vt:lpstr>home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 진실</cp:lastModifiedBy>
  <dcterms:created xsi:type="dcterms:W3CDTF">2025-10-28T12:03:58Z</dcterms:created>
  <dcterms:modified xsi:type="dcterms:W3CDTF">2025-12-02T07:03:30Z</dcterms:modified>
</cp:coreProperties>
</file>