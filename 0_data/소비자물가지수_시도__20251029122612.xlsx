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sti-my.sharepoint.com/personal/truth8256_goodsti_com/Documents/=대학원/=논문연구/20th-PE-forecast-main/0_data/"/>
    </mc:Choice>
  </mc:AlternateContent>
  <xr:revisionPtr revIDLastSave="131" documentId="11_941C3E520783DA2279CECB609ABC2F945CBDB698" xr6:coauthVersionLast="47" xr6:coauthVersionMax="47" xr10:uidLastSave="{DA3BF27C-8E44-4F67-A8A9-2151C33C7313}"/>
  <bookViews>
    <workbookView xWindow="28680" yWindow="-120" windowWidth="29040" windowHeight="15720" xr2:uid="{00000000-000D-0000-FFFF-FFFF00000000}"/>
  </bookViews>
  <sheets>
    <sheet name="데이터" sheetId="1" r:id="rId1"/>
    <sheet name="메타정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7" i="1" l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J36" i="1"/>
  <c r="AJ40" i="1" s="1"/>
  <c r="AI36" i="1"/>
  <c r="AI40" i="1" s="1"/>
  <c r="AH36" i="1"/>
  <c r="AG36" i="1"/>
  <c r="AG40" i="1" s="1"/>
  <c r="AF36" i="1"/>
  <c r="AF40" i="1" s="1"/>
  <c r="AE36" i="1"/>
  <c r="AD36" i="1"/>
  <c r="AC36" i="1"/>
  <c r="AC40" i="1" s="1"/>
  <c r="AB36" i="1"/>
  <c r="AB40" i="1" s="1"/>
  <c r="AA36" i="1"/>
  <c r="AA40" i="1" s="1"/>
  <c r="Z36" i="1"/>
  <c r="Y36" i="1"/>
  <c r="X36" i="1"/>
  <c r="X40" i="1" s="1"/>
  <c r="W36" i="1"/>
  <c r="W40" i="1" s="1"/>
  <c r="V36" i="1"/>
  <c r="U36" i="1"/>
  <c r="T36" i="1"/>
  <c r="S36" i="1"/>
  <c r="S40" i="1" s="1"/>
  <c r="R36" i="1"/>
  <c r="R40" i="1" s="1"/>
  <c r="Q36" i="1"/>
  <c r="P36" i="1"/>
  <c r="O36" i="1"/>
  <c r="N36" i="1"/>
  <c r="N40" i="1" s="1"/>
  <c r="M36" i="1"/>
  <c r="M40" i="1" s="1"/>
  <c r="L36" i="1"/>
  <c r="K36" i="1"/>
  <c r="J36" i="1"/>
  <c r="I36" i="1"/>
  <c r="I40" i="1" s="1"/>
  <c r="H36" i="1"/>
  <c r="H40" i="1" s="1"/>
  <c r="G36" i="1"/>
  <c r="F36" i="1"/>
  <c r="E36" i="1"/>
  <c r="D36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J32" i="1"/>
  <c r="AI32" i="1"/>
  <c r="AH32" i="1"/>
  <c r="AG32" i="1"/>
  <c r="AG42" i="1" s="1"/>
  <c r="AF32" i="1"/>
  <c r="AF42" i="1" s="1"/>
  <c r="AE32" i="1"/>
  <c r="AD32" i="1"/>
  <c r="AC32" i="1"/>
  <c r="AB32" i="1"/>
  <c r="AB42" i="1" s="1"/>
  <c r="AA32" i="1"/>
  <c r="AA42" i="1" s="1"/>
  <c r="Z32" i="1"/>
  <c r="Y32" i="1"/>
  <c r="X32" i="1"/>
  <c r="X42" i="1" s="1"/>
  <c r="W32" i="1"/>
  <c r="W42" i="1" s="1"/>
  <c r="V32" i="1"/>
  <c r="U32" i="1"/>
  <c r="T32" i="1"/>
  <c r="S32" i="1"/>
  <c r="S42" i="1" s="1"/>
  <c r="R32" i="1"/>
  <c r="R42" i="1" s="1"/>
  <c r="Q32" i="1"/>
  <c r="P32" i="1"/>
  <c r="O32" i="1"/>
  <c r="N32" i="1"/>
  <c r="N42" i="1" s="1"/>
  <c r="M32" i="1"/>
  <c r="M42" i="1" s="1"/>
  <c r="L32" i="1"/>
  <c r="K32" i="1"/>
  <c r="J32" i="1"/>
  <c r="I32" i="1"/>
  <c r="I42" i="1" s="1"/>
  <c r="H32" i="1"/>
  <c r="H42" i="1" s="1"/>
  <c r="G32" i="1"/>
  <c r="F32" i="1"/>
  <c r="E32" i="1"/>
  <c r="D32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J28" i="1"/>
  <c r="AI28" i="1"/>
  <c r="AH28" i="1"/>
  <c r="AG28" i="1"/>
  <c r="D28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AB39" i="1" l="1"/>
  <c r="M39" i="1"/>
  <c r="AA39" i="1"/>
  <c r="N39" i="1"/>
  <c r="W39" i="1"/>
  <c r="H39" i="1"/>
  <c r="AG39" i="1"/>
  <c r="X39" i="1"/>
  <c r="I39" i="1"/>
  <c r="AF39" i="1"/>
  <c r="R39" i="1"/>
  <c r="AI39" i="1"/>
  <c r="AJ39" i="1"/>
  <c r="AC39" i="1"/>
  <c r="S39" i="1"/>
</calcChain>
</file>

<file path=xl/sharedStrings.xml><?xml version="1.0" encoding="utf-8"?>
<sst xmlns="http://schemas.openxmlformats.org/spreadsheetml/2006/main" count="156" uniqueCount="87">
  <si>
    <t>시도별(2)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</si>
  <si>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</si>
  <si>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</si>
  <si>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</si>
  <si>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</si>
  <si>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</si>
  <si>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</si>
  <si>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</si>
  <si>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</si>
  <si>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</si>
  <si>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</si>
  <si>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</si>
  <si>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</si>
  <si>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</si>
  <si>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</si>
  <si>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</si>
  <si>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</si>
  <si>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</si>
  <si>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</si>
  <si>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</si>
  <si>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</si>
  <si>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</si>
  <si>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</si>
  <si>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</si>
  <si>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</si>
  <si>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</si>
  <si>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</si>
  <si>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</si>
  <si>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</si>
  <si>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</si>
  <si>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</si>
  <si>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</si>
  <si>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</si>
  <si>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</si>
  <si>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</si>
  <si>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</si>
  <si>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소계</t>
  </si>
  <si>
    <t/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</si>
  <si>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</si>
  <si>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</si>
  <si>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</si>
  <si>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</si>
  <si>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</si>
  <si>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</si>
  <si>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</si>
  <si>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</si>
  <si>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-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</si>
  <si>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</si>
  <si>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</si>
  <si>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</si>
  <si>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</si>
  <si>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</si>
  <si>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</si>
  <si>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</si>
  <si>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</si>
  <si>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</si>
  <si>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</si>
  <si>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INH_1J22003</t>
  </si>
  <si>
    <t>○ 통계표명</t>
  </si>
  <si>
    <t>소비자물가지수(시도)</t>
  </si>
  <si>
    <t>○ 조회기간</t>
  </si>
  <si>
    <t xml:space="preserve">[년] 1990~2024  </t>
  </si>
  <si>
    <t>○ 출처</t>
  </si>
  <si>
    <t>「소비자물가조사」, 국가데이터처</t>
  </si>
  <si>
    <t>○ 자료다운일자</t>
  </si>
  <si>
    <t>2025.10.29 12:25</t>
  </si>
  <si>
    <t>○ 통계표URL</t>
  </si>
  <si>
    <t>https://kosis.kr/statHtml/statHtml.do?orgId=101&amp;tblId=INH_1J22003&amp;conn_path=I3</t>
  </si>
  <si>
    <t>* KOSIS 개편 시 통계표 URL은 달라질 수 있음</t>
  </si>
  <si>
    <t>○ 단위</t>
  </si>
  <si>
    <t>2020=100</t>
  </si>
  <si>
    <t>○ 주석</t>
  </si>
  <si>
    <t>통계표</t>
  </si>
  <si>
    <t>■ &lt;b&gt;자료제공처:&lt;/b&gt; 통계청 지역통계기획팀</t>
  </si>
  <si>
    <t>■ &lt;b&gt;자료원출처:&lt;/b&gt; 통계청 물가동향과(소비자물가조사)</t>
  </si>
  <si>
    <t>■ &lt;b&gt;자료제공주기:&lt;/b&gt; 월, 분기, 1년</t>
  </si>
  <si>
    <t>■ &lt;b&gt;자료제공시기:&lt;/b&gt; 조사기준월 익월</t>
  </si>
  <si>
    <t>□ &lt;b&gt;정의&lt;/b&gt;</t>
  </si>
  <si>
    <t xml:space="preserve">  - 소비자물가지수: 가구에서 일상소비생활을 영위하기 위해 구입하는 상품과 서비스의 가격변동을 측정하기 위하여 작성한 지수</t>
  </si>
  <si>
    <t>□ &lt;b&gt;의의&lt;/b&gt;</t>
  </si>
  <si>
    <t xml:space="preserve">  - 물가의 변동을 통해 도시가계의 평균적인 생계비나 화폐이 구매력 변동을 보여줌</t>
  </si>
  <si>
    <t xml:space="preserve">  - 거시경제지표로서 가구부문 전체의 물가상승에 대한 지역별 측정값 제공</t>
  </si>
  <si>
    <t xml:space="preserve">  - 국민연금, 공무원연금 등의 사회보장수혜금과 그 밖의 사회수혜금, 그리고 임금을 조정 등에 사용</t>
  </si>
  <si>
    <t xml:space="preserve">  - 지자체에서 공공요금을 조정하거나 재정, 통화, 무역정책을 수립하고 평가하는데 사용</t>
  </si>
  <si>
    <t>□ &lt;b&gt;참고사항&lt;/b&gt;</t>
  </si>
  <si>
    <t xml:space="preserve"> - 2019년 이전 지수는 소수점 이하 3자리, 2020년 이후 지수는 소수점 이하 2자리로 작성</t>
  </si>
  <si>
    <t>- 지역별로 기준시점(2020년)의 가격수준이 다르기 때문에 지역별 소비자물가지수를 이용하여 지역별 가격차이를 비교할 수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</si>
</sst>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"/>
    <numFmt numFmtId="177" formatCode="0.0000000"/>
    <numFmt numFmtId="178" formatCode="0.0000"/>
    <numFmt numFmtId="179" formatCode="0.00000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/>
    <xf numFmtId="3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4" borderId="2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  <xf numFmtId="0" fontId="0" fillId="5" borderId="0" xfId="0" applyFill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3"/>
  <sheetViews>
    <sheetView tabSelected="1" zoomScale="90" zoomScaleNormal="90" workbookViewId="0">
      <pane xSplit="1" ySplit="1" topLeftCell="B2" activePane="bottomRight" state="frozen"/>
      <selection pane="topRight" activeCell="C1" sqref="C1"/>
      <selection pane="bottomLeft" activeCell="A2" sqref="A2"/>
      <selection pane="bottomRight" sqref="A1:A1048576"/>
    </sheetView>
  </sheetViews>
  <sheetFormatPr defaultColWidth="21" defaultRowHeight="16.5" x14ac:dyDescent="0.3"/>
  <cols>
    <col min="1" max="1" width="14.625" customWidth="1"/>
    <col min="2" max="31" width="6.75" customWidth="1"/>
    <col min="32" max="33" width="8.75" customWidth="1"/>
    <col min="34" max="36" width="6.75" customWidth="1"/>
  </cols>
  <sheetData>
    <row r="1" spans="1:36" ht="20.100000000000001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20.100000000000001" customHeight="1" x14ac:dyDescent="0.3">
      <c r="A2" s="6" t="s">
        <v>36</v>
      </c>
      <c r="B2" s="5">
        <v>38.479999999999997</v>
      </c>
      <c r="C2" s="5">
        <v>42.070999999999998</v>
      </c>
      <c r="D2" s="5">
        <v>44.685000000000002</v>
      </c>
      <c r="E2" s="5">
        <v>46.831000000000003</v>
      </c>
      <c r="F2" s="5">
        <v>49.765000000000001</v>
      </c>
      <c r="G2" s="5">
        <v>51.994999999999997</v>
      </c>
      <c r="H2" s="5">
        <v>54.555</v>
      </c>
      <c r="I2" s="5">
        <v>56.976999999999997</v>
      </c>
      <c r="J2" s="5">
        <v>61.258000000000003</v>
      </c>
      <c r="K2" s="5">
        <v>61.756</v>
      </c>
      <c r="L2" s="5">
        <v>63.151000000000003</v>
      </c>
      <c r="M2" s="5">
        <v>65.718999999999994</v>
      </c>
      <c r="N2" s="5">
        <v>67.534000000000006</v>
      </c>
      <c r="O2" s="5">
        <v>69.908000000000001</v>
      </c>
      <c r="P2" s="5">
        <v>72.418000000000006</v>
      </c>
      <c r="Q2" s="5">
        <v>74.412999999999997</v>
      </c>
      <c r="R2" s="5">
        <v>76.081000000000003</v>
      </c>
      <c r="S2" s="5">
        <v>78.010000000000005</v>
      </c>
      <c r="T2" s="5">
        <v>81.656000000000006</v>
      </c>
      <c r="U2" s="5">
        <v>83.906000000000006</v>
      </c>
      <c r="V2" s="5">
        <v>86.373000000000005</v>
      </c>
      <c r="W2" s="5">
        <v>89.85</v>
      </c>
      <c r="X2" s="5">
        <v>91.814999999999998</v>
      </c>
      <c r="Y2" s="5">
        <v>93.01</v>
      </c>
      <c r="Z2" s="5">
        <v>94.195999999999998</v>
      </c>
      <c r="AA2" s="5">
        <v>94.861000000000004</v>
      </c>
      <c r="AB2" s="5">
        <v>95.783000000000001</v>
      </c>
      <c r="AC2" s="5">
        <v>97.644999999999996</v>
      </c>
      <c r="AD2" s="5">
        <v>99.085999999999999</v>
      </c>
      <c r="AE2" s="5">
        <v>99.465999999999994</v>
      </c>
      <c r="AF2" s="4">
        <v>100</v>
      </c>
      <c r="AG2" s="4">
        <v>102.5</v>
      </c>
      <c r="AH2" s="4">
        <v>107.72</v>
      </c>
      <c r="AI2" s="4">
        <v>111.59</v>
      </c>
      <c r="AJ2" s="4">
        <v>114.18</v>
      </c>
    </row>
    <row r="3" spans="1:36" ht="20.100000000000001" customHeight="1" x14ac:dyDescent="0.3">
      <c r="A3" s="6" t="s">
        <v>38</v>
      </c>
      <c r="B3" s="5">
        <v>38.225000000000001</v>
      </c>
      <c r="C3" s="5">
        <v>41.948</v>
      </c>
      <c r="D3" s="5">
        <v>44.319000000000003</v>
      </c>
      <c r="E3" s="5">
        <v>46.517000000000003</v>
      </c>
      <c r="F3" s="5">
        <v>49.323</v>
      </c>
      <c r="G3" s="5">
        <v>51.234000000000002</v>
      </c>
      <c r="H3" s="5">
        <v>53.402999999999999</v>
      </c>
      <c r="I3" s="5">
        <v>55.652999999999999</v>
      </c>
      <c r="J3" s="5">
        <v>59.802999999999997</v>
      </c>
      <c r="K3" s="5">
        <v>60.298000000000002</v>
      </c>
      <c r="L3" s="5">
        <v>61.828000000000003</v>
      </c>
      <c r="M3" s="5">
        <v>64.512</v>
      </c>
      <c r="N3" s="5">
        <v>66.64</v>
      </c>
      <c r="O3" s="5">
        <v>69.180000000000007</v>
      </c>
      <c r="P3" s="5">
        <v>71.873999999999995</v>
      </c>
      <c r="Q3" s="5">
        <v>73.754999999999995</v>
      </c>
      <c r="R3" s="5">
        <v>75.278999999999996</v>
      </c>
      <c r="S3" s="5">
        <v>77.251999999999995</v>
      </c>
      <c r="T3" s="5">
        <v>80.465999999999994</v>
      </c>
      <c r="U3" s="5">
        <v>82.837999999999994</v>
      </c>
      <c r="V3" s="5">
        <v>85.162000000000006</v>
      </c>
      <c r="W3" s="5">
        <v>88.412000000000006</v>
      </c>
      <c r="X3" s="5">
        <v>90.605000000000004</v>
      </c>
      <c r="Y3" s="5">
        <v>91.869</v>
      </c>
      <c r="Z3" s="5">
        <v>93.3</v>
      </c>
      <c r="AA3" s="5">
        <v>94.47</v>
      </c>
      <c r="AB3" s="5">
        <v>95.584999999999994</v>
      </c>
      <c r="AC3" s="5">
        <v>97.494</v>
      </c>
      <c r="AD3" s="5">
        <v>98.799000000000007</v>
      </c>
      <c r="AE3" s="5">
        <v>99.382000000000005</v>
      </c>
      <c r="AF3" s="4">
        <v>100</v>
      </c>
      <c r="AG3" s="4">
        <v>102.1</v>
      </c>
      <c r="AH3" s="4">
        <v>106.69</v>
      </c>
      <c r="AI3" s="4">
        <v>110.88</v>
      </c>
      <c r="AJ3" s="4">
        <v>113.5</v>
      </c>
    </row>
    <row r="4" spans="1:36" ht="20.100000000000001" customHeight="1" x14ac:dyDescent="0.3">
      <c r="A4" s="6" t="s">
        <v>39</v>
      </c>
      <c r="B4" s="5">
        <v>37.076000000000001</v>
      </c>
      <c r="C4" s="5">
        <v>40.679000000000002</v>
      </c>
      <c r="D4" s="5">
        <v>43.593000000000004</v>
      </c>
      <c r="E4" s="5">
        <v>45.453000000000003</v>
      </c>
      <c r="F4" s="5">
        <v>48.591999999999999</v>
      </c>
      <c r="G4" s="5">
        <v>50.756</v>
      </c>
      <c r="H4" s="5">
        <v>53.466000000000001</v>
      </c>
      <c r="I4" s="5">
        <v>56.258000000000003</v>
      </c>
      <c r="J4" s="5">
        <v>60.677999999999997</v>
      </c>
      <c r="K4" s="5">
        <v>61.478000000000002</v>
      </c>
      <c r="L4" s="5">
        <v>62.71</v>
      </c>
      <c r="M4" s="5">
        <v>65.290999999999997</v>
      </c>
      <c r="N4" s="5">
        <v>66.962999999999994</v>
      </c>
      <c r="O4" s="5">
        <v>69.366</v>
      </c>
      <c r="P4" s="5">
        <v>71.462000000000003</v>
      </c>
      <c r="Q4" s="5">
        <v>73.441000000000003</v>
      </c>
      <c r="R4" s="5">
        <v>75.063000000000002</v>
      </c>
      <c r="S4" s="5">
        <v>76.906000000000006</v>
      </c>
      <c r="T4" s="5">
        <v>80.546999999999997</v>
      </c>
      <c r="U4" s="5">
        <v>82.995999999999995</v>
      </c>
      <c r="V4" s="5">
        <v>85.55</v>
      </c>
      <c r="W4" s="5">
        <v>89.363</v>
      </c>
      <c r="X4" s="5">
        <v>91.501999999999995</v>
      </c>
      <c r="Y4" s="5">
        <v>92.852000000000004</v>
      </c>
      <c r="Z4" s="5">
        <v>94.019000000000005</v>
      </c>
      <c r="AA4" s="5">
        <v>94.807000000000002</v>
      </c>
      <c r="AB4" s="5">
        <v>95.929000000000002</v>
      </c>
      <c r="AC4" s="5">
        <v>97.638999999999996</v>
      </c>
      <c r="AD4" s="5">
        <v>99.343000000000004</v>
      </c>
      <c r="AE4" s="5">
        <v>99.823999999999998</v>
      </c>
      <c r="AF4" s="4">
        <v>100</v>
      </c>
      <c r="AG4" s="4">
        <v>102.46</v>
      </c>
      <c r="AH4" s="4">
        <v>107.35</v>
      </c>
      <c r="AI4" s="4">
        <v>111.33</v>
      </c>
      <c r="AJ4" s="4">
        <v>114.12</v>
      </c>
    </row>
    <row r="5" spans="1:36" ht="20.100000000000001" customHeight="1" x14ac:dyDescent="0.3">
      <c r="A5" s="6" t="s">
        <v>40</v>
      </c>
      <c r="B5" s="5">
        <v>39.024999999999999</v>
      </c>
      <c r="C5" s="5">
        <v>42.706000000000003</v>
      </c>
      <c r="D5" s="5">
        <v>45.399000000000001</v>
      </c>
      <c r="E5" s="5">
        <v>47.860999999999997</v>
      </c>
      <c r="F5" s="5">
        <v>50.8</v>
      </c>
      <c r="G5" s="5">
        <v>53.225999999999999</v>
      </c>
      <c r="H5" s="5">
        <v>55.811999999999998</v>
      </c>
      <c r="I5" s="5">
        <v>58.203000000000003</v>
      </c>
      <c r="J5" s="5">
        <v>62.28</v>
      </c>
      <c r="K5" s="5">
        <v>62.363999999999997</v>
      </c>
      <c r="L5" s="5">
        <v>63.667999999999999</v>
      </c>
      <c r="M5" s="5">
        <v>66.061000000000007</v>
      </c>
      <c r="N5" s="5">
        <v>67.653000000000006</v>
      </c>
      <c r="O5" s="5">
        <v>69.885999999999996</v>
      </c>
      <c r="P5" s="5">
        <v>71.944999999999993</v>
      </c>
      <c r="Q5" s="5">
        <v>73.796000000000006</v>
      </c>
      <c r="R5" s="5">
        <v>75.480999999999995</v>
      </c>
      <c r="S5" s="5">
        <v>77.263999999999996</v>
      </c>
      <c r="T5" s="5">
        <v>80.978999999999999</v>
      </c>
      <c r="U5" s="5">
        <v>82.885000000000005</v>
      </c>
      <c r="V5" s="5">
        <v>85.228999999999999</v>
      </c>
      <c r="W5" s="5">
        <v>88.766000000000005</v>
      </c>
      <c r="X5" s="5">
        <v>90.938999999999993</v>
      </c>
      <c r="Y5" s="5">
        <v>92.441999999999993</v>
      </c>
      <c r="Z5" s="5">
        <v>93.769000000000005</v>
      </c>
      <c r="AA5" s="5">
        <v>94.463999999999999</v>
      </c>
      <c r="AB5" s="5">
        <v>95.412000000000006</v>
      </c>
      <c r="AC5" s="5">
        <v>97.358000000000004</v>
      </c>
      <c r="AD5" s="5">
        <v>99.046999999999997</v>
      </c>
      <c r="AE5" s="5">
        <v>99.71</v>
      </c>
      <c r="AF5" s="4">
        <v>100</v>
      </c>
      <c r="AG5" s="4">
        <v>102.64</v>
      </c>
      <c r="AH5" s="4">
        <v>108.02</v>
      </c>
      <c r="AI5" s="4">
        <v>111.79</v>
      </c>
      <c r="AJ5" s="4">
        <v>114.2</v>
      </c>
    </row>
    <row r="6" spans="1:36" ht="20.100000000000001" customHeight="1" x14ac:dyDescent="0.3">
      <c r="A6" s="6" t="s">
        <v>41</v>
      </c>
      <c r="B6" s="5">
        <v>38.651000000000003</v>
      </c>
      <c r="C6" s="5">
        <v>41.859000000000002</v>
      </c>
      <c r="D6" s="5">
        <v>44.667999999999999</v>
      </c>
      <c r="E6" s="5">
        <v>46.857999999999997</v>
      </c>
      <c r="F6" s="5">
        <v>49.631999999999998</v>
      </c>
      <c r="G6" s="5">
        <v>52.197000000000003</v>
      </c>
      <c r="H6" s="5">
        <v>54.975999999999999</v>
      </c>
      <c r="I6" s="5">
        <v>57.372</v>
      </c>
      <c r="J6" s="5">
        <v>61.313000000000002</v>
      </c>
      <c r="K6" s="5">
        <v>61.869</v>
      </c>
      <c r="L6" s="5">
        <v>63.585000000000001</v>
      </c>
      <c r="M6" s="5">
        <v>66.355999999999995</v>
      </c>
      <c r="N6" s="5">
        <v>68.066999999999993</v>
      </c>
      <c r="O6" s="5">
        <v>70.25</v>
      </c>
      <c r="P6" s="5">
        <v>72.691999999999993</v>
      </c>
      <c r="Q6" s="5">
        <v>74.540999999999997</v>
      </c>
      <c r="R6" s="5">
        <v>76.323999999999998</v>
      </c>
      <c r="S6" s="5">
        <v>78.099999999999994</v>
      </c>
      <c r="T6" s="5">
        <v>81.944999999999993</v>
      </c>
      <c r="U6" s="5">
        <v>84.132000000000005</v>
      </c>
      <c r="V6" s="5">
        <v>86.796000000000006</v>
      </c>
      <c r="W6" s="5">
        <v>89.760999999999996</v>
      </c>
      <c r="X6" s="5">
        <v>91.542000000000002</v>
      </c>
      <c r="Y6" s="5">
        <v>92.533000000000001</v>
      </c>
      <c r="Z6" s="5">
        <v>93.831999999999994</v>
      </c>
      <c r="AA6" s="5">
        <v>94.76</v>
      </c>
      <c r="AB6" s="5">
        <v>95.570999999999998</v>
      </c>
      <c r="AC6" s="5">
        <v>97.382999999999996</v>
      </c>
      <c r="AD6" s="5">
        <v>98.96</v>
      </c>
      <c r="AE6" s="5">
        <v>99.221999999999994</v>
      </c>
      <c r="AF6" s="4">
        <v>100</v>
      </c>
      <c r="AG6" s="4">
        <v>102.62</v>
      </c>
      <c r="AH6" s="4">
        <v>107.96</v>
      </c>
      <c r="AI6" s="4">
        <v>111.92</v>
      </c>
      <c r="AJ6" s="4">
        <v>114.79</v>
      </c>
    </row>
    <row r="7" spans="1:36" ht="20.100000000000001" customHeight="1" x14ac:dyDescent="0.3">
      <c r="A7" s="6" t="s">
        <v>42</v>
      </c>
      <c r="B7" s="5">
        <v>38.664000000000001</v>
      </c>
      <c r="C7" s="5">
        <v>42.087000000000003</v>
      </c>
      <c r="D7" s="5">
        <v>44.597000000000001</v>
      </c>
      <c r="E7" s="5">
        <v>46.774999999999999</v>
      </c>
      <c r="F7" s="5">
        <v>49.851999999999997</v>
      </c>
      <c r="G7" s="5">
        <v>52.063000000000002</v>
      </c>
      <c r="H7" s="5">
        <v>54.944000000000003</v>
      </c>
      <c r="I7" s="5">
        <v>57.643999999999998</v>
      </c>
      <c r="J7" s="5">
        <v>62.308999999999997</v>
      </c>
      <c r="K7" s="5">
        <v>62.695</v>
      </c>
      <c r="L7" s="5">
        <v>63.966999999999999</v>
      </c>
      <c r="M7" s="5">
        <v>66.311999999999998</v>
      </c>
      <c r="N7" s="5">
        <v>67.756</v>
      </c>
      <c r="O7" s="5">
        <v>69.984999999999999</v>
      </c>
      <c r="P7" s="5">
        <v>72.947999999999993</v>
      </c>
      <c r="Q7" s="5">
        <v>75.165999999999997</v>
      </c>
      <c r="R7" s="5">
        <v>76.850999999999999</v>
      </c>
      <c r="S7" s="5">
        <v>78.855000000000004</v>
      </c>
      <c r="T7" s="5">
        <v>82.594999999999999</v>
      </c>
      <c r="U7" s="5">
        <v>84.680999999999997</v>
      </c>
      <c r="V7" s="5">
        <v>87.173000000000002</v>
      </c>
      <c r="W7" s="5">
        <v>90.725999999999999</v>
      </c>
      <c r="X7" s="5">
        <v>92.346999999999994</v>
      </c>
      <c r="Y7" s="5">
        <v>93.54</v>
      </c>
      <c r="Z7" s="5">
        <v>95.040999999999997</v>
      </c>
      <c r="AA7" s="5">
        <v>95.305999999999997</v>
      </c>
      <c r="AB7" s="5">
        <v>96.18</v>
      </c>
      <c r="AC7" s="5">
        <v>98.191000000000003</v>
      </c>
      <c r="AD7" s="5">
        <v>99.344999999999999</v>
      </c>
      <c r="AE7" s="5">
        <v>99.563999999999993</v>
      </c>
      <c r="AF7" s="4">
        <v>100</v>
      </c>
      <c r="AG7" s="4">
        <v>102.57</v>
      </c>
      <c r="AH7" s="4">
        <v>107.79</v>
      </c>
      <c r="AI7" s="4">
        <v>111.76</v>
      </c>
      <c r="AJ7" s="4">
        <v>114.57</v>
      </c>
    </row>
    <row r="8" spans="1:36" ht="20.100000000000001" customHeight="1" x14ac:dyDescent="0.3">
      <c r="A8" s="6" t="s">
        <v>43</v>
      </c>
      <c r="B8" s="5">
        <v>37.895000000000003</v>
      </c>
      <c r="C8" s="5">
        <v>41.091000000000001</v>
      </c>
      <c r="D8" s="5">
        <v>44.066000000000003</v>
      </c>
      <c r="E8" s="5">
        <v>46.877000000000002</v>
      </c>
      <c r="F8" s="5">
        <v>50.664000000000001</v>
      </c>
      <c r="G8" s="5">
        <v>53.518999999999998</v>
      </c>
      <c r="H8" s="5">
        <v>56.137</v>
      </c>
      <c r="I8" s="5">
        <v>58.603000000000002</v>
      </c>
      <c r="J8" s="5">
        <v>62.996000000000002</v>
      </c>
      <c r="K8" s="5">
        <v>63.286000000000001</v>
      </c>
      <c r="L8" s="5">
        <v>64.722999999999999</v>
      </c>
      <c r="M8" s="5">
        <v>67.197999999999993</v>
      </c>
      <c r="N8" s="5">
        <v>68.772999999999996</v>
      </c>
      <c r="O8" s="5">
        <v>70.941000000000003</v>
      </c>
      <c r="P8" s="5">
        <v>73.647999999999996</v>
      </c>
      <c r="Q8" s="5">
        <v>75.8</v>
      </c>
      <c r="R8" s="5">
        <v>77.733000000000004</v>
      </c>
      <c r="S8" s="5">
        <v>79.641000000000005</v>
      </c>
      <c r="T8" s="5">
        <v>83.393000000000001</v>
      </c>
      <c r="U8" s="5">
        <v>85.287999999999997</v>
      </c>
      <c r="V8" s="5">
        <v>87.896000000000001</v>
      </c>
      <c r="W8" s="5">
        <v>91.837000000000003</v>
      </c>
      <c r="X8" s="5">
        <v>93.668999999999997</v>
      </c>
      <c r="Y8" s="5">
        <v>94.591999999999999</v>
      </c>
      <c r="Z8" s="5">
        <v>95.459000000000003</v>
      </c>
      <c r="AA8" s="5">
        <v>95.647999999999996</v>
      </c>
      <c r="AB8" s="5">
        <v>96.296999999999997</v>
      </c>
      <c r="AC8" s="5">
        <v>97.894000000000005</v>
      </c>
      <c r="AD8" s="5">
        <v>99.412000000000006</v>
      </c>
      <c r="AE8" s="5">
        <v>99.622</v>
      </c>
      <c r="AF8" s="4">
        <v>100</v>
      </c>
      <c r="AG8" s="4">
        <v>102.5</v>
      </c>
      <c r="AH8" s="4">
        <v>107.52</v>
      </c>
      <c r="AI8" s="4">
        <v>111.24</v>
      </c>
      <c r="AJ8" s="4">
        <v>113.88</v>
      </c>
    </row>
    <row r="9" spans="1:36" ht="20.100000000000001" customHeight="1" x14ac:dyDescent="0.3">
      <c r="A9" s="6" t="s">
        <v>44</v>
      </c>
      <c r="B9" s="5">
        <v>40.119</v>
      </c>
      <c r="C9" s="5">
        <v>43.453000000000003</v>
      </c>
      <c r="D9" s="5">
        <v>45.499000000000002</v>
      </c>
      <c r="E9" s="5">
        <v>46.667999999999999</v>
      </c>
      <c r="F9" s="5">
        <v>49.109000000000002</v>
      </c>
      <c r="G9" s="5">
        <v>51.540999999999997</v>
      </c>
      <c r="H9" s="5">
        <v>54.35</v>
      </c>
      <c r="I9" s="5">
        <v>56.673000000000002</v>
      </c>
      <c r="J9" s="5">
        <v>61.59</v>
      </c>
      <c r="K9" s="5">
        <v>62.26</v>
      </c>
      <c r="L9" s="5">
        <v>63.406999999999996</v>
      </c>
      <c r="M9" s="5">
        <v>65.917000000000002</v>
      </c>
      <c r="N9" s="5">
        <v>67.623000000000005</v>
      </c>
      <c r="O9" s="5">
        <v>69.927000000000007</v>
      </c>
      <c r="P9" s="5">
        <v>72.596000000000004</v>
      </c>
      <c r="Q9" s="5">
        <v>74.822999999999993</v>
      </c>
      <c r="R9" s="5">
        <v>76.875</v>
      </c>
      <c r="S9" s="5">
        <v>79.063999999999993</v>
      </c>
      <c r="T9" s="5">
        <v>83.18</v>
      </c>
      <c r="U9" s="5">
        <v>85.113</v>
      </c>
      <c r="V9" s="5">
        <v>87.814999999999998</v>
      </c>
      <c r="W9" s="5">
        <v>91.313000000000002</v>
      </c>
      <c r="X9" s="5">
        <v>93.272000000000006</v>
      </c>
      <c r="Y9" s="5">
        <v>94.688000000000002</v>
      </c>
      <c r="Z9" s="5">
        <v>95.811999999999998</v>
      </c>
      <c r="AA9" s="5">
        <v>96.251000000000005</v>
      </c>
      <c r="AB9" s="5">
        <v>97.204999999999998</v>
      </c>
      <c r="AC9" s="5">
        <v>99.006</v>
      </c>
      <c r="AD9" s="5">
        <v>100.026</v>
      </c>
      <c r="AE9" s="5">
        <v>99.704999999999998</v>
      </c>
      <c r="AF9" s="4">
        <v>100</v>
      </c>
      <c r="AG9" s="4">
        <v>102.49</v>
      </c>
      <c r="AH9" s="4">
        <v>107.57</v>
      </c>
      <c r="AI9" s="4">
        <v>111.43</v>
      </c>
      <c r="AJ9" s="4">
        <v>113.97</v>
      </c>
    </row>
    <row r="10" spans="1:36" ht="20.100000000000001" customHeight="1" x14ac:dyDescent="0.3">
      <c r="A10" s="6" t="s">
        <v>45</v>
      </c>
      <c r="B10" s="3" t="s">
        <v>46</v>
      </c>
      <c r="C10" s="3" t="s">
        <v>46</v>
      </c>
      <c r="D10" s="3" t="s">
        <v>46</v>
      </c>
      <c r="E10" s="3" t="s">
        <v>46</v>
      </c>
      <c r="F10" s="3" t="s">
        <v>46</v>
      </c>
      <c r="G10" s="3" t="s">
        <v>46</v>
      </c>
      <c r="H10" s="3" t="s">
        <v>46</v>
      </c>
      <c r="I10" s="3" t="s">
        <v>46</v>
      </c>
      <c r="J10" s="3" t="s">
        <v>46</v>
      </c>
      <c r="K10" s="3" t="s">
        <v>46</v>
      </c>
      <c r="L10" s="3" t="s">
        <v>46</v>
      </c>
      <c r="M10" s="3" t="s">
        <v>46</v>
      </c>
      <c r="N10" s="3" t="s">
        <v>46</v>
      </c>
      <c r="O10" s="3" t="s">
        <v>46</v>
      </c>
      <c r="P10" s="3" t="s">
        <v>46</v>
      </c>
      <c r="Q10" s="3" t="s">
        <v>46</v>
      </c>
      <c r="R10" s="3" t="s">
        <v>46</v>
      </c>
      <c r="S10" s="3" t="s">
        <v>46</v>
      </c>
      <c r="T10" s="3" t="s">
        <v>46</v>
      </c>
      <c r="U10" s="3" t="s">
        <v>46</v>
      </c>
      <c r="V10" s="3" t="s">
        <v>46</v>
      </c>
      <c r="W10" s="3" t="s">
        <v>46</v>
      </c>
      <c r="X10" s="3" t="s">
        <v>46</v>
      </c>
      <c r="Y10" s="3" t="s">
        <v>46</v>
      </c>
      <c r="Z10" s="3" t="s">
        <v>46</v>
      </c>
      <c r="AA10" s="3" t="s">
        <v>46</v>
      </c>
      <c r="AB10" s="3" t="s">
        <v>46</v>
      </c>
      <c r="AC10" s="3" t="s">
        <v>46</v>
      </c>
      <c r="AD10" s="3" t="s">
        <v>46</v>
      </c>
      <c r="AE10" s="3" t="s">
        <v>46</v>
      </c>
      <c r="AF10" s="4">
        <v>100</v>
      </c>
      <c r="AG10" s="4">
        <v>102.71</v>
      </c>
      <c r="AH10" s="4">
        <v>108.23</v>
      </c>
      <c r="AI10" s="4">
        <v>111.46</v>
      </c>
      <c r="AJ10" s="4">
        <v>114.1</v>
      </c>
    </row>
    <row r="11" spans="1:36" ht="20.100000000000001" customHeight="1" x14ac:dyDescent="0.3">
      <c r="A11" s="6" t="s">
        <v>47</v>
      </c>
      <c r="B11" s="5">
        <v>37.386000000000003</v>
      </c>
      <c r="C11" s="5">
        <v>40.807000000000002</v>
      </c>
      <c r="D11" s="5">
        <v>43.781999999999996</v>
      </c>
      <c r="E11" s="5">
        <v>46.043999999999997</v>
      </c>
      <c r="F11" s="5">
        <v>48.86</v>
      </c>
      <c r="G11" s="5">
        <v>51.427999999999997</v>
      </c>
      <c r="H11" s="5">
        <v>54.343000000000004</v>
      </c>
      <c r="I11" s="5">
        <v>56.786000000000001</v>
      </c>
      <c r="J11" s="5">
        <v>60.816000000000003</v>
      </c>
      <c r="K11" s="5">
        <v>61.372999999999998</v>
      </c>
      <c r="L11" s="5">
        <v>62.911999999999999</v>
      </c>
      <c r="M11" s="5">
        <v>65.528000000000006</v>
      </c>
      <c r="N11" s="5">
        <v>67.576999999999998</v>
      </c>
      <c r="O11" s="5">
        <v>69.867999999999995</v>
      </c>
      <c r="P11" s="5">
        <v>72.28</v>
      </c>
      <c r="Q11" s="5">
        <v>74.284000000000006</v>
      </c>
      <c r="R11" s="5">
        <v>76.096999999999994</v>
      </c>
      <c r="S11" s="5">
        <v>78.004000000000005</v>
      </c>
      <c r="T11" s="5">
        <v>81.766999999999996</v>
      </c>
      <c r="U11" s="5">
        <v>84.138000000000005</v>
      </c>
      <c r="V11" s="5">
        <v>86.546000000000006</v>
      </c>
      <c r="W11" s="5">
        <v>89.870999999999995</v>
      </c>
      <c r="X11" s="5">
        <v>91.769000000000005</v>
      </c>
      <c r="Y11" s="5">
        <v>92.89</v>
      </c>
      <c r="Z11" s="5">
        <v>94.037999999999997</v>
      </c>
      <c r="AA11" s="5">
        <v>94.733999999999995</v>
      </c>
      <c r="AB11" s="5">
        <v>95.623999999999995</v>
      </c>
      <c r="AC11" s="5">
        <v>97.545000000000002</v>
      </c>
      <c r="AD11" s="5">
        <v>98.994</v>
      </c>
      <c r="AE11" s="5">
        <v>99.396000000000001</v>
      </c>
      <c r="AF11" s="4">
        <v>100</v>
      </c>
      <c r="AG11" s="4">
        <v>102.57</v>
      </c>
      <c r="AH11" s="4">
        <v>107.72</v>
      </c>
      <c r="AI11" s="4">
        <v>111.55</v>
      </c>
      <c r="AJ11" s="4">
        <v>114.13</v>
      </c>
    </row>
    <row r="12" spans="1:36" ht="20.100000000000001" customHeight="1" x14ac:dyDescent="0.3">
      <c r="A12" s="6" t="s">
        <v>48</v>
      </c>
      <c r="B12" s="5">
        <v>38.293999999999997</v>
      </c>
      <c r="C12" s="5">
        <v>41.972999999999999</v>
      </c>
      <c r="D12" s="5">
        <v>44.893000000000001</v>
      </c>
      <c r="E12" s="5">
        <v>46.869</v>
      </c>
      <c r="F12" s="5">
        <v>49.881</v>
      </c>
      <c r="G12" s="5">
        <v>52.055999999999997</v>
      </c>
      <c r="H12" s="5">
        <v>54.994</v>
      </c>
      <c r="I12" s="5">
        <v>57.110999999999997</v>
      </c>
      <c r="J12" s="5">
        <v>62.109000000000002</v>
      </c>
      <c r="K12" s="5">
        <v>62.975999999999999</v>
      </c>
      <c r="L12" s="5">
        <v>64.073999999999998</v>
      </c>
      <c r="M12" s="5">
        <v>66.519000000000005</v>
      </c>
      <c r="N12" s="5">
        <v>67.715000000000003</v>
      </c>
      <c r="O12" s="5">
        <v>70.049000000000007</v>
      </c>
      <c r="P12" s="5">
        <v>72.745000000000005</v>
      </c>
      <c r="Q12" s="5">
        <v>75.323999999999998</v>
      </c>
      <c r="R12" s="5">
        <v>77.037999999999997</v>
      </c>
      <c r="S12" s="5">
        <v>78.832999999999998</v>
      </c>
      <c r="T12" s="5">
        <v>83.025999999999996</v>
      </c>
      <c r="U12" s="5">
        <v>84.602000000000004</v>
      </c>
      <c r="V12" s="5">
        <v>87.156000000000006</v>
      </c>
      <c r="W12" s="5">
        <v>90.933000000000007</v>
      </c>
      <c r="X12" s="5">
        <v>92.691999999999993</v>
      </c>
      <c r="Y12" s="5">
        <v>93.697000000000003</v>
      </c>
      <c r="Z12" s="5">
        <v>94.334000000000003</v>
      </c>
      <c r="AA12" s="5">
        <v>94.369</v>
      </c>
      <c r="AB12" s="5">
        <v>95.11</v>
      </c>
      <c r="AC12" s="5">
        <v>97.013000000000005</v>
      </c>
      <c r="AD12" s="5">
        <v>98.557000000000002</v>
      </c>
      <c r="AE12" s="5">
        <v>99.384</v>
      </c>
      <c r="AF12" s="4">
        <v>100</v>
      </c>
      <c r="AG12" s="4">
        <v>102.8</v>
      </c>
      <c r="AH12" s="4">
        <v>108.98</v>
      </c>
      <c r="AI12" s="4">
        <v>112.99</v>
      </c>
      <c r="AJ12" s="4">
        <v>115.64</v>
      </c>
    </row>
    <row r="13" spans="1:36" ht="20.100000000000001" customHeight="1" x14ac:dyDescent="0.3">
      <c r="A13" s="6" t="s">
        <v>49</v>
      </c>
      <c r="B13" s="5">
        <v>40.131999999999998</v>
      </c>
      <c r="C13" s="5">
        <v>43.533999999999999</v>
      </c>
      <c r="D13" s="5">
        <v>46.015999999999998</v>
      </c>
      <c r="E13" s="5">
        <v>47.911999999999999</v>
      </c>
      <c r="F13" s="5">
        <v>50.878999999999998</v>
      </c>
      <c r="G13" s="5">
        <v>53.014000000000003</v>
      </c>
      <c r="H13" s="5">
        <v>55.709000000000003</v>
      </c>
      <c r="I13" s="5">
        <v>58.372</v>
      </c>
      <c r="J13" s="5">
        <v>62.683999999999997</v>
      </c>
      <c r="K13" s="5">
        <v>63.195999999999998</v>
      </c>
      <c r="L13" s="5">
        <v>64.456000000000003</v>
      </c>
      <c r="M13" s="5">
        <v>66.775999999999996</v>
      </c>
      <c r="N13" s="5">
        <v>67.953000000000003</v>
      </c>
      <c r="O13" s="5">
        <v>70.352999999999994</v>
      </c>
      <c r="P13" s="5">
        <v>72.683999999999997</v>
      </c>
      <c r="Q13" s="5">
        <v>74.962000000000003</v>
      </c>
      <c r="R13" s="5">
        <v>76.661000000000001</v>
      </c>
      <c r="S13" s="5">
        <v>78.748000000000005</v>
      </c>
      <c r="T13" s="5">
        <v>82.789000000000001</v>
      </c>
      <c r="U13" s="5">
        <v>84.805999999999997</v>
      </c>
      <c r="V13" s="5">
        <v>87.3</v>
      </c>
      <c r="W13" s="5">
        <v>91.147999999999996</v>
      </c>
      <c r="X13" s="5">
        <v>92.938000000000002</v>
      </c>
      <c r="Y13" s="5">
        <v>94.103999999999999</v>
      </c>
      <c r="Z13" s="5">
        <v>95.22</v>
      </c>
      <c r="AA13" s="5">
        <v>95.072999999999993</v>
      </c>
      <c r="AB13" s="5">
        <v>95.613</v>
      </c>
      <c r="AC13" s="5">
        <v>97.524000000000001</v>
      </c>
      <c r="AD13" s="5">
        <v>99.122</v>
      </c>
      <c r="AE13" s="5">
        <v>99.486999999999995</v>
      </c>
      <c r="AF13" s="4">
        <v>100</v>
      </c>
      <c r="AG13" s="4">
        <v>102.69</v>
      </c>
      <c r="AH13" s="4">
        <v>108.52</v>
      </c>
      <c r="AI13" s="4">
        <v>112.39</v>
      </c>
      <c r="AJ13" s="4">
        <v>114.83</v>
      </c>
    </row>
    <row r="14" spans="1:36" ht="20.100000000000001" customHeight="1" x14ac:dyDescent="0.3">
      <c r="A14" s="6" t="s">
        <v>50</v>
      </c>
      <c r="B14" s="5">
        <v>38.825000000000003</v>
      </c>
      <c r="C14" s="5">
        <v>42.151000000000003</v>
      </c>
      <c r="D14" s="5">
        <v>44.959000000000003</v>
      </c>
      <c r="E14" s="5">
        <v>47.027000000000001</v>
      </c>
      <c r="F14" s="5">
        <v>50.414000000000001</v>
      </c>
      <c r="G14" s="5">
        <v>52.817</v>
      </c>
      <c r="H14" s="5">
        <v>56.365000000000002</v>
      </c>
      <c r="I14" s="5">
        <v>58.9</v>
      </c>
      <c r="J14" s="5">
        <v>63.131</v>
      </c>
      <c r="K14" s="5">
        <v>63.518000000000001</v>
      </c>
      <c r="L14" s="5">
        <v>64.099000000000004</v>
      </c>
      <c r="M14" s="5">
        <v>66.39</v>
      </c>
      <c r="N14" s="5">
        <v>67.795000000000002</v>
      </c>
      <c r="O14" s="5">
        <v>70.278999999999996</v>
      </c>
      <c r="P14" s="5">
        <v>73.019000000000005</v>
      </c>
      <c r="Q14" s="5">
        <v>75.363</v>
      </c>
      <c r="R14" s="5">
        <v>77.290999999999997</v>
      </c>
      <c r="S14" s="5">
        <v>79.22</v>
      </c>
      <c r="T14" s="5">
        <v>83.12</v>
      </c>
      <c r="U14" s="5">
        <v>85.387</v>
      </c>
      <c r="V14" s="5">
        <v>87.953999999999994</v>
      </c>
      <c r="W14" s="5">
        <v>91.561000000000007</v>
      </c>
      <c r="X14" s="5">
        <v>93.753</v>
      </c>
      <c r="Y14" s="5">
        <v>94.867000000000004</v>
      </c>
      <c r="Z14" s="5">
        <v>95.308999999999997</v>
      </c>
      <c r="AA14" s="5">
        <v>95.515000000000001</v>
      </c>
      <c r="AB14" s="5">
        <v>96.171000000000006</v>
      </c>
      <c r="AC14" s="5">
        <v>98.036000000000001</v>
      </c>
      <c r="AD14" s="5">
        <v>99.436999999999998</v>
      </c>
      <c r="AE14" s="5">
        <v>99.343000000000004</v>
      </c>
      <c r="AF14" s="4">
        <v>100</v>
      </c>
      <c r="AG14" s="4">
        <v>102.77</v>
      </c>
      <c r="AH14" s="4">
        <v>108.74</v>
      </c>
      <c r="AI14" s="4">
        <v>112.35</v>
      </c>
      <c r="AJ14" s="4">
        <v>114.57</v>
      </c>
    </row>
    <row r="15" spans="1:36" ht="20.100000000000001" customHeight="1" x14ac:dyDescent="0.3">
      <c r="A15" s="6" t="s">
        <v>51</v>
      </c>
      <c r="B15" s="5">
        <v>38.137</v>
      </c>
      <c r="C15" s="5">
        <v>41.420999999999999</v>
      </c>
      <c r="D15" s="5">
        <v>44.462000000000003</v>
      </c>
      <c r="E15" s="5">
        <v>46.639000000000003</v>
      </c>
      <c r="F15" s="5">
        <v>50.081000000000003</v>
      </c>
      <c r="G15" s="5">
        <v>52.865000000000002</v>
      </c>
      <c r="H15" s="5">
        <v>55.656999999999996</v>
      </c>
      <c r="I15" s="5">
        <v>58.128999999999998</v>
      </c>
      <c r="J15" s="5">
        <v>62.314</v>
      </c>
      <c r="K15" s="5">
        <v>62.353999999999999</v>
      </c>
      <c r="L15" s="5">
        <v>63.921999999999997</v>
      </c>
      <c r="M15" s="5">
        <v>66.394000000000005</v>
      </c>
      <c r="N15" s="5">
        <v>67.72</v>
      </c>
      <c r="O15" s="5">
        <v>70.037000000000006</v>
      </c>
      <c r="P15" s="5">
        <v>72.742999999999995</v>
      </c>
      <c r="Q15" s="5">
        <v>74.745999999999995</v>
      </c>
      <c r="R15" s="5">
        <v>76.378</v>
      </c>
      <c r="S15" s="5">
        <v>78.253</v>
      </c>
      <c r="T15" s="5">
        <v>82.09</v>
      </c>
      <c r="U15" s="5">
        <v>84.481999999999999</v>
      </c>
      <c r="V15" s="5">
        <v>87.25</v>
      </c>
      <c r="W15" s="5">
        <v>91.066000000000003</v>
      </c>
      <c r="X15" s="5">
        <v>93.051000000000002</v>
      </c>
      <c r="Y15" s="5">
        <v>94.173000000000002</v>
      </c>
      <c r="Z15" s="5">
        <v>95.233000000000004</v>
      </c>
      <c r="AA15" s="5">
        <v>95.204999999999998</v>
      </c>
      <c r="AB15" s="5">
        <v>95.718000000000004</v>
      </c>
      <c r="AC15" s="5">
        <v>97.492000000000004</v>
      </c>
      <c r="AD15" s="5">
        <v>99.158000000000001</v>
      </c>
      <c r="AE15" s="5">
        <v>99.466999999999999</v>
      </c>
      <c r="AF15" s="4">
        <v>100</v>
      </c>
      <c r="AG15" s="4">
        <v>102.59</v>
      </c>
      <c r="AH15" s="4">
        <v>108.06</v>
      </c>
      <c r="AI15" s="4">
        <v>111.62</v>
      </c>
      <c r="AJ15" s="4">
        <v>114.24</v>
      </c>
    </row>
    <row r="16" spans="1:36" ht="20.100000000000001" customHeight="1" x14ac:dyDescent="0.3">
      <c r="A16" s="6" t="s">
        <v>52</v>
      </c>
      <c r="B16" s="5">
        <v>38.804000000000002</v>
      </c>
      <c r="C16" s="5">
        <v>42.145000000000003</v>
      </c>
      <c r="D16" s="5">
        <v>44.595999999999997</v>
      </c>
      <c r="E16" s="5">
        <v>46.633000000000003</v>
      </c>
      <c r="F16" s="5">
        <v>49.744</v>
      </c>
      <c r="G16" s="5">
        <v>52.235999999999997</v>
      </c>
      <c r="H16" s="5">
        <v>55.091000000000001</v>
      </c>
      <c r="I16" s="5">
        <v>57.405999999999999</v>
      </c>
      <c r="J16" s="5">
        <v>62.177</v>
      </c>
      <c r="K16" s="5">
        <v>62.890999999999998</v>
      </c>
      <c r="L16" s="5">
        <v>64.453999999999994</v>
      </c>
      <c r="M16" s="5">
        <v>66.650000000000006</v>
      </c>
      <c r="N16" s="5">
        <v>67.992999999999995</v>
      </c>
      <c r="O16" s="5">
        <v>70.131</v>
      </c>
      <c r="P16" s="5">
        <v>72.596000000000004</v>
      </c>
      <c r="Q16" s="5">
        <v>74.513000000000005</v>
      </c>
      <c r="R16" s="5">
        <v>76.066000000000003</v>
      </c>
      <c r="S16" s="5">
        <v>77.947000000000003</v>
      </c>
      <c r="T16" s="5">
        <v>81.673000000000002</v>
      </c>
      <c r="U16" s="5">
        <v>83.951999999999998</v>
      </c>
      <c r="V16" s="5">
        <v>86.753</v>
      </c>
      <c r="W16" s="5">
        <v>90.635000000000005</v>
      </c>
      <c r="X16" s="5">
        <v>92.433999999999997</v>
      </c>
      <c r="Y16" s="5">
        <v>93.686999999999998</v>
      </c>
      <c r="Z16" s="5">
        <v>94.626999999999995</v>
      </c>
      <c r="AA16" s="5">
        <v>94.594999999999999</v>
      </c>
      <c r="AB16" s="5">
        <v>95.486000000000004</v>
      </c>
      <c r="AC16" s="5">
        <v>97.507999999999996</v>
      </c>
      <c r="AD16" s="5">
        <v>98.971000000000004</v>
      </c>
      <c r="AE16" s="5">
        <v>99.3</v>
      </c>
      <c r="AF16" s="4">
        <v>100</v>
      </c>
      <c r="AG16" s="4">
        <v>102.62</v>
      </c>
      <c r="AH16" s="4">
        <v>108.43</v>
      </c>
      <c r="AI16" s="4">
        <v>112.21</v>
      </c>
      <c r="AJ16" s="4">
        <v>115.03</v>
      </c>
    </row>
    <row r="17" spans="1:36" ht="20.100000000000001" customHeight="1" x14ac:dyDescent="0.3">
      <c r="A17" s="6" t="s">
        <v>53</v>
      </c>
      <c r="B17" s="5">
        <v>40.777999999999999</v>
      </c>
      <c r="C17" s="5">
        <v>44.146000000000001</v>
      </c>
      <c r="D17" s="5">
        <v>46.789000000000001</v>
      </c>
      <c r="E17" s="5">
        <v>48.386000000000003</v>
      </c>
      <c r="F17" s="5">
        <v>51.375999999999998</v>
      </c>
      <c r="G17" s="5">
        <v>54.246000000000002</v>
      </c>
      <c r="H17" s="5">
        <v>57.225999999999999</v>
      </c>
      <c r="I17" s="5">
        <v>59.938000000000002</v>
      </c>
      <c r="J17" s="5">
        <v>64.233000000000004</v>
      </c>
      <c r="K17" s="5">
        <v>64.825000000000003</v>
      </c>
      <c r="L17" s="5">
        <v>65.733999999999995</v>
      </c>
      <c r="M17" s="5">
        <v>68.040000000000006</v>
      </c>
      <c r="N17" s="5">
        <v>69.239999999999995</v>
      </c>
      <c r="O17" s="5">
        <v>71.015000000000001</v>
      </c>
      <c r="P17" s="5">
        <v>73.414000000000001</v>
      </c>
      <c r="Q17" s="5">
        <v>75.593000000000004</v>
      </c>
      <c r="R17" s="5">
        <v>77.344999999999999</v>
      </c>
      <c r="S17" s="5">
        <v>79.241</v>
      </c>
      <c r="T17" s="5">
        <v>83.436999999999998</v>
      </c>
      <c r="U17" s="5">
        <v>85.409000000000006</v>
      </c>
      <c r="V17" s="5">
        <v>88.111000000000004</v>
      </c>
      <c r="W17" s="5">
        <v>91.863</v>
      </c>
      <c r="X17" s="5">
        <v>93.712999999999994</v>
      </c>
      <c r="Y17" s="5">
        <v>94.798000000000002</v>
      </c>
      <c r="Z17" s="5">
        <v>95.757999999999996</v>
      </c>
      <c r="AA17" s="5">
        <v>95.795000000000002</v>
      </c>
      <c r="AB17" s="5">
        <v>96.451999999999998</v>
      </c>
      <c r="AC17" s="5">
        <v>98.24</v>
      </c>
      <c r="AD17" s="5">
        <v>99.703000000000003</v>
      </c>
      <c r="AE17" s="5">
        <v>99.875</v>
      </c>
      <c r="AF17" s="4">
        <v>100</v>
      </c>
      <c r="AG17" s="4">
        <v>102.74</v>
      </c>
      <c r="AH17" s="4">
        <v>108.74</v>
      </c>
      <c r="AI17" s="4">
        <v>112.39</v>
      </c>
      <c r="AJ17" s="4">
        <v>114.88</v>
      </c>
    </row>
    <row r="18" spans="1:36" ht="20.100000000000001" customHeight="1" x14ac:dyDescent="0.3">
      <c r="A18" s="6" t="s">
        <v>54</v>
      </c>
      <c r="B18" s="5">
        <v>39.875999999999998</v>
      </c>
      <c r="C18" s="5">
        <v>43.503999999999998</v>
      </c>
      <c r="D18" s="5">
        <v>46.061999999999998</v>
      </c>
      <c r="E18" s="5">
        <v>47.526000000000003</v>
      </c>
      <c r="F18" s="5">
        <v>50.113999999999997</v>
      </c>
      <c r="G18" s="5">
        <v>52.466999999999999</v>
      </c>
      <c r="H18" s="5">
        <v>55.027999999999999</v>
      </c>
      <c r="I18" s="5">
        <v>57.774000000000001</v>
      </c>
      <c r="J18" s="5">
        <v>62.491</v>
      </c>
      <c r="K18" s="5">
        <v>62.697000000000003</v>
      </c>
      <c r="L18" s="5">
        <v>63.844999999999999</v>
      </c>
      <c r="M18" s="5">
        <v>66.331000000000003</v>
      </c>
      <c r="N18" s="5">
        <v>67.986000000000004</v>
      </c>
      <c r="O18" s="5">
        <v>70.448999999999998</v>
      </c>
      <c r="P18" s="5">
        <v>72.698999999999998</v>
      </c>
      <c r="Q18" s="5">
        <v>74.616</v>
      </c>
      <c r="R18" s="5">
        <v>76.108000000000004</v>
      </c>
      <c r="S18" s="5">
        <v>77.899000000000001</v>
      </c>
      <c r="T18" s="5">
        <v>81.878</v>
      </c>
      <c r="U18" s="5">
        <v>84.271000000000001</v>
      </c>
      <c r="V18" s="5">
        <v>87.111000000000004</v>
      </c>
      <c r="W18" s="5">
        <v>90.778000000000006</v>
      </c>
      <c r="X18" s="5">
        <v>92.52</v>
      </c>
      <c r="Y18" s="5">
        <v>93.722999999999999</v>
      </c>
      <c r="Z18" s="5">
        <v>94.997</v>
      </c>
      <c r="AA18" s="5">
        <v>95.521000000000001</v>
      </c>
      <c r="AB18" s="5">
        <v>96.405000000000001</v>
      </c>
      <c r="AC18" s="5">
        <v>97.951999999999998</v>
      </c>
      <c r="AD18" s="5">
        <v>99.304000000000002</v>
      </c>
      <c r="AE18" s="5">
        <v>99.385000000000005</v>
      </c>
      <c r="AF18" s="4">
        <v>100</v>
      </c>
      <c r="AG18" s="4">
        <v>102.53</v>
      </c>
      <c r="AH18" s="4">
        <v>107.98</v>
      </c>
      <c r="AI18" s="4">
        <v>111.76</v>
      </c>
      <c r="AJ18" s="4">
        <v>114.25</v>
      </c>
    </row>
    <row r="19" spans="1:36" ht="20.100000000000001" customHeight="1" x14ac:dyDescent="0.3">
      <c r="A19" s="7" t="s">
        <v>55</v>
      </c>
      <c r="B19" s="5">
        <v>38.462000000000003</v>
      </c>
      <c r="C19" s="5">
        <v>42.116999999999997</v>
      </c>
      <c r="D19" s="5">
        <v>45.067</v>
      </c>
      <c r="E19" s="5">
        <v>47.320999999999998</v>
      </c>
      <c r="F19" s="5">
        <v>50.276000000000003</v>
      </c>
      <c r="G19" s="5">
        <v>52.802</v>
      </c>
      <c r="H19" s="5">
        <v>55.371000000000002</v>
      </c>
      <c r="I19" s="5">
        <v>57.831000000000003</v>
      </c>
      <c r="J19" s="5">
        <v>62.258000000000003</v>
      </c>
      <c r="K19" s="5">
        <v>63.045999999999999</v>
      </c>
      <c r="L19" s="5">
        <v>64.358000000000004</v>
      </c>
      <c r="M19" s="5">
        <v>66.287999999999997</v>
      </c>
      <c r="N19" s="5">
        <v>68.182000000000002</v>
      </c>
      <c r="O19" s="5">
        <v>70.402000000000001</v>
      </c>
      <c r="P19" s="5">
        <v>73.222999999999999</v>
      </c>
      <c r="Q19" s="5">
        <v>75.058000000000007</v>
      </c>
      <c r="R19" s="5">
        <v>76.503</v>
      </c>
      <c r="S19" s="5">
        <v>78.135000000000005</v>
      </c>
      <c r="T19" s="5">
        <v>82.131</v>
      </c>
      <c r="U19" s="5">
        <v>83.62</v>
      </c>
      <c r="V19" s="5">
        <v>86.445999999999998</v>
      </c>
      <c r="W19" s="5">
        <v>90.156000000000006</v>
      </c>
      <c r="X19" s="5">
        <v>91.257000000000005</v>
      </c>
      <c r="Y19" s="5">
        <v>92.519000000000005</v>
      </c>
      <c r="Z19" s="5">
        <v>93.55</v>
      </c>
      <c r="AA19" s="5">
        <v>94.149000000000001</v>
      </c>
      <c r="AB19" s="5">
        <v>95.366</v>
      </c>
      <c r="AC19" s="5">
        <v>97.552999999999997</v>
      </c>
      <c r="AD19" s="5">
        <v>99.251999999999995</v>
      </c>
      <c r="AE19" s="5">
        <v>99.573999999999998</v>
      </c>
      <c r="AF19" s="4">
        <v>100</v>
      </c>
      <c r="AG19" s="4">
        <v>102.63</v>
      </c>
      <c r="AH19" s="4">
        <v>108.71</v>
      </c>
      <c r="AI19" s="4">
        <v>111.95</v>
      </c>
      <c r="AJ19" s="4">
        <v>113.97</v>
      </c>
    </row>
    <row r="21" spans="1:36" x14ac:dyDescent="0.3">
      <c r="A21" s="6" t="s">
        <v>38</v>
      </c>
      <c r="C21">
        <f>C3/B3-1</f>
        <v>9.7396991497710861E-2</v>
      </c>
      <c r="D21">
        <f t="shared" ref="D21:AJ29" si="0">D3/C3-1</f>
        <v>5.6522361018403799E-2</v>
      </c>
      <c r="E21">
        <f t="shared" si="0"/>
        <v>4.9594981836232677E-2</v>
      </c>
      <c r="F21">
        <f t="shared" si="0"/>
        <v>6.0322032805210979E-2</v>
      </c>
      <c r="G21">
        <f t="shared" si="0"/>
        <v>3.8744601909859622E-2</v>
      </c>
      <c r="H21" s="9">
        <f t="shared" si="0"/>
        <v>4.2335168052465066E-2</v>
      </c>
      <c r="I21">
        <f t="shared" si="0"/>
        <v>4.2132464468288333E-2</v>
      </c>
      <c r="J21">
        <f t="shared" si="0"/>
        <v>7.4569205613354228E-2</v>
      </c>
      <c r="K21">
        <f t="shared" si="0"/>
        <v>8.2771767302645127E-3</v>
      </c>
      <c r="L21">
        <f t="shared" si="0"/>
        <v>2.5373975919599445E-2</v>
      </c>
      <c r="M21">
        <f t="shared" si="0"/>
        <v>4.3410752409911435E-2</v>
      </c>
      <c r="N21">
        <f t="shared" si="0"/>
        <v>3.298611111111116E-2</v>
      </c>
      <c r="O21">
        <f t="shared" si="0"/>
        <v>3.8115246098439526E-2</v>
      </c>
      <c r="P21">
        <f t="shared" si="0"/>
        <v>3.8941890719861094E-2</v>
      </c>
      <c r="Q21">
        <f t="shared" si="0"/>
        <v>2.6170798898071723E-2</v>
      </c>
      <c r="R21">
        <f t="shared" si="0"/>
        <v>2.0663005897905151E-2</v>
      </c>
      <c r="S21">
        <f t="shared" si="0"/>
        <v>2.6209168559624851E-2</v>
      </c>
      <c r="T21">
        <f t="shared" si="0"/>
        <v>4.1604100864702565E-2</v>
      </c>
      <c r="U21">
        <f t="shared" si="0"/>
        <v>2.9478288966768629E-2</v>
      </c>
      <c r="V21">
        <f t="shared" si="0"/>
        <v>2.8054757478451986E-2</v>
      </c>
      <c r="W21">
        <f t="shared" si="0"/>
        <v>3.8162560766539011E-2</v>
      </c>
      <c r="X21">
        <f t="shared" si="0"/>
        <v>2.4804325204723421E-2</v>
      </c>
      <c r="Y21">
        <f t="shared" si="0"/>
        <v>1.3950664974339055E-2</v>
      </c>
      <c r="Z21">
        <f t="shared" si="0"/>
        <v>1.5576527446690358E-2</v>
      </c>
      <c r="AA21">
        <f t="shared" si="0"/>
        <v>1.2540192926045135E-2</v>
      </c>
      <c r="AB21">
        <f t="shared" si="0"/>
        <v>1.1802688684238394E-2</v>
      </c>
      <c r="AC21">
        <f t="shared" si="0"/>
        <v>1.9971752890097783E-2</v>
      </c>
      <c r="AD21">
        <f t="shared" si="0"/>
        <v>1.3385439103944963E-2</v>
      </c>
      <c r="AE21">
        <f t="shared" si="0"/>
        <v>5.9008694419984131E-3</v>
      </c>
      <c r="AF21">
        <f t="shared" si="0"/>
        <v>6.2184298967620233E-3</v>
      </c>
      <c r="AG21">
        <f t="shared" si="0"/>
        <v>2.0999999999999908E-2</v>
      </c>
      <c r="AH21">
        <f t="shared" si="0"/>
        <v>4.4955925563173293E-2</v>
      </c>
      <c r="AI21">
        <f t="shared" si="0"/>
        <v>3.9272659105820562E-2</v>
      </c>
      <c r="AJ21">
        <f t="shared" si="0"/>
        <v>2.3629148629148666E-2</v>
      </c>
    </row>
    <row r="22" spans="1:36" x14ac:dyDescent="0.3">
      <c r="A22" s="6" t="s">
        <v>39</v>
      </c>
      <c r="C22">
        <f t="shared" ref="C22:R37" si="1">C4/B4-1</f>
        <v>9.7178767936131338E-2</v>
      </c>
      <c r="D22">
        <f t="shared" si="1"/>
        <v>7.1634012635512168E-2</v>
      </c>
      <c r="E22">
        <f t="shared" si="1"/>
        <v>4.2667400729474947E-2</v>
      </c>
      <c r="F22">
        <f t="shared" si="1"/>
        <v>6.9060348051833698E-2</v>
      </c>
      <c r="G22">
        <f t="shared" si="1"/>
        <v>4.4534079683898664E-2</v>
      </c>
      <c r="H22" s="9">
        <f t="shared" si="1"/>
        <v>5.3392702340609999E-2</v>
      </c>
      <c r="I22">
        <f t="shared" si="1"/>
        <v>5.2220102495043719E-2</v>
      </c>
      <c r="J22">
        <f t="shared" si="1"/>
        <v>7.8566603860784179E-2</v>
      </c>
      <c r="K22">
        <f t="shared" si="1"/>
        <v>1.3184350176340676E-2</v>
      </c>
      <c r="L22">
        <f t="shared" si="1"/>
        <v>2.0039688994436977E-2</v>
      </c>
      <c r="M22">
        <f t="shared" si="1"/>
        <v>4.1157710094083866E-2</v>
      </c>
      <c r="N22">
        <f t="shared" si="1"/>
        <v>2.5608429952060696E-2</v>
      </c>
      <c r="O22">
        <f t="shared" si="1"/>
        <v>3.5885489001388882E-2</v>
      </c>
      <c r="P22">
        <f t="shared" si="1"/>
        <v>3.0216532595219503E-2</v>
      </c>
      <c r="Q22">
        <f t="shared" si="1"/>
        <v>2.769303965744041E-2</v>
      </c>
      <c r="R22">
        <f t="shared" si="1"/>
        <v>2.2085755912909733E-2</v>
      </c>
      <c r="S22">
        <f t="shared" si="0"/>
        <v>2.4552709057724886E-2</v>
      </c>
      <c r="T22">
        <f t="shared" si="0"/>
        <v>4.734351025927741E-2</v>
      </c>
      <c r="U22">
        <f t="shared" si="0"/>
        <v>3.0404608489453366E-2</v>
      </c>
      <c r="V22">
        <f t="shared" si="0"/>
        <v>3.0772567352643554E-2</v>
      </c>
      <c r="W22">
        <f t="shared" si="0"/>
        <v>4.4570426651081352E-2</v>
      </c>
      <c r="X22">
        <f t="shared" si="0"/>
        <v>2.3936080928348424E-2</v>
      </c>
      <c r="Y22">
        <f t="shared" si="0"/>
        <v>1.4753775873751485E-2</v>
      </c>
      <c r="Z22">
        <f t="shared" si="0"/>
        <v>1.2568388403050079E-2</v>
      </c>
      <c r="AA22">
        <f t="shared" si="0"/>
        <v>8.3812846339568203E-3</v>
      </c>
      <c r="AB22">
        <f t="shared" si="0"/>
        <v>1.1834569177381349E-2</v>
      </c>
      <c r="AC22">
        <f t="shared" si="0"/>
        <v>1.7825683578479801E-2</v>
      </c>
      <c r="AD22">
        <f t="shared" si="0"/>
        <v>1.745204272882761E-2</v>
      </c>
      <c r="AE22">
        <f t="shared" si="0"/>
        <v>4.8418106962744289E-3</v>
      </c>
      <c r="AF22">
        <f t="shared" si="0"/>
        <v>1.7631030613880494E-3</v>
      </c>
      <c r="AG22">
        <f t="shared" si="0"/>
        <v>2.4599999999999955E-2</v>
      </c>
      <c r="AH22">
        <f t="shared" si="0"/>
        <v>4.7725941830958352E-2</v>
      </c>
      <c r="AI22">
        <f t="shared" si="0"/>
        <v>3.707498835584544E-2</v>
      </c>
      <c r="AJ22">
        <f t="shared" si="0"/>
        <v>2.5060630557801167E-2</v>
      </c>
    </row>
    <row r="23" spans="1:36" x14ac:dyDescent="0.3">
      <c r="A23" s="6" t="s">
        <v>40</v>
      </c>
      <c r="C23">
        <f t="shared" si="1"/>
        <v>9.4324151185137817E-2</v>
      </c>
      <c r="D23">
        <f t="shared" si="0"/>
        <v>6.3059054933732872E-2</v>
      </c>
      <c r="E23">
        <f t="shared" si="0"/>
        <v>5.4230269389193619E-2</v>
      </c>
      <c r="F23">
        <f t="shared" si="0"/>
        <v>6.140699107833103E-2</v>
      </c>
      <c r="G23">
        <f t="shared" si="0"/>
        <v>4.7755905511811081E-2</v>
      </c>
      <c r="H23" s="9">
        <f t="shared" si="0"/>
        <v>4.8585277871716848E-2</v>
      </c>
      <c r="I23">
        <f t="shared" si="0"/>
        <v>4.2840249408729436E-2</v>
      </c>
      <c r="J23">
        <f t="shared" si="0"/>
        <v>7.0047935673418937E-2</v>
      </c>
      <c r="K23">
        <f t="shared" si="0"/>
        <v>1.3487475915221481E-3</v>
      </c>
      <c r="L23">
        <f t="shared" si="0"/>
        <v>2.0909499069976301E-2</v>
      </c>
      <c r="M23">
        <f t="shared" si="0"/>
        <v>3.7585600301564437E-2</v>
      </c>
      <c r="N23">
        <f t="shared" si="0"/>
        <v>2.4098938859538954E-2</v>
      </c>
      <c r="O23">
        <f t="shared" si="0"/>
        <v>3.3006666371040216E-2</v>
      </c>
      <c r="P23">
        <f t="shared" si="0"/>
        <v>2.9462267120739405E-2</v>
      </c>
      <c r="Q23">
        <f t="shared" si="0"/>
        <v>2.5727986656473911E-2</v>
      </c>
      <c r="R23">
        <f t="shared" si="0"/>
        <v>2.2833215892460235E-2</v>
      </c>
      <c r="S23">
        <f t="shared" si="0"/>
        <v>2.362183860839151E-2</v>
      </c>
      <c r="T23">
        <f t="shared" si="0"/>
        <v>4.8081901014702888E-2</v>
      </c>
      <c r="U23">
        <f t="shared" si="0"/>
        <v>2.353696637399838E-2</v>
      </c>
      <c r="V23">
        <f t="shared" si="0"/>
        <v>2.8280147191892313E-2</v>
      </c>
      <c r="W23">
        <f t="shared" si="0"/>
        <v>4.1499958934165582E-2</v>
      </c>
      <c r="X23">
        <f t="shared" si="0"/>
        <v>2.4480093729581043E-2</v>
      </c>
      <c r="Y23">
        <f t="shared" si="0"/>
        <v>1.6527562431959852E-2</v>
      </c>
      <c r="Z23">
        <f t="shared" si="0"/>
        <v>1.4354946885615005E-2</v>
      </c>
      <c r="AA23">
        <f t="shared" si="0"/>
        <v>7.4118312022095623E-3</v>
      </c>
      <c r="AB23">
        <f t="shared" si="0"/>
        <v>1.0035569105691033E-2</v>
      </c>
      <c r="AC23">
        <f t="shared" si="0"/>
        <v>2.0395757347084098E-2</v>
      </c>
      <c r="AD23">
        <f t="shared" si="0"/>
        <v>1.7348343228085872E-2</v>
      </c>
      <c r="AE23">
        <f t="shared" si="0"/>
        <v>6.6937918361988924E-3</v>
      </c>
      <c r="AF23">
        <f t="shared" si="0"/>
        <v>2.9084344599339396E-3</v>
      </c>
      <c r="AG23">
        <f t="shared" si="0"/>
        <v>2.6399999999999979E-2</v>
      </c>
      <c r="AH23">
        <f t="shared" si="0"/>
        <v>5.2416212003117746E-2</v>
      </c>
      <c r="AI23">
        <f t="shared" si="0"/>
        <v>3.4900944269579792E-2</v>
      </c>
      <c r="AJ23">
        <f t="shared" si="0"/>
        <v>2.1558278915824181E-2</v>
      </c>
    </row>
    <row r="24" spans="1:36" x14ac:dyDescent="0.3">
      <c r="A24" s="6" t="s">
        <v>41</v>
      </c>
      <c r="C24">
        <f t="shared" si="1"/>
        <v>8.2999146205790186E-2</v>
      </c>
      <c r="D24">
        <f t="shared" si="0"/>
        <v>6.7106237607205133E-2</v>
      </c>
      <c r="E24">
        <f t="shared" si="0"/>
        <v>4.9028387212322055E-2</v>
      </c>
      <c r="F24">
        <f t="shared" si="0"/>
        <v>5.920013658286738E-2</v>
      </c>
      <c r="G24">
        <f t="shared" si="0"/>
        <v>5.1680367504835623E-2</v>
      </c>
      <c r="H24" s="9">
        <f t="shared" si="0"/>
        <v>5.3240607697760289E-2</v>
      </c>
      <c r="I24">
        <f t="shared" si="0"/>
        <v>4.3582654249126884E-2</v>
      </c>
      <c r="J24">
        <f t="shared" si="0"/>
        <v>6.8692044899951288E-2</v>
      </c>
      <c r="K24">
        <f t="shared" si="0"/>
        <v>9.0682237045975889E-3</v>
      </c>
      <c r="L24">
        <f t="shared" si="0"/>
        <v>2.7736022887067779E-2</v>
      </c>
      <c r="M24">
        <f t="shared" si="0"/>
        <v>4.3579460564598493E-2</v>
      </c>
      <c r="N24">
        <f t="shared" si="0"/>
        <v>2.5785158840195388E-2</v>
      </c>
      <c r="O24">
        <f t="shared" si="0"/>
        <v>3.2071341472373005E-2</v>
      </c>
      <c r="P24">
        <f t="shared" si="0"/>
        <v>3.4761565836298747E-2</v>
      </c>
      <c r="Q24">
        <f t="shared" si="0"/>
        <v>2.5436086501953392E-2</v>
      </c>
      <c r="R24">
        <f t="shared" si="0"/>
        <v>2.3919722032170299E-2</v>
      </c>
      <c r="S24">
        <f t="shared" si="0"/>
        <v>2.3269220690739445E-2</v>
      </c>
      <c r="T24">
        <f t="shared" si="0"/>
        <v>4.9231754161331631E-2</v>
      </c>
      <c r="U24">
        <f t="shared" si="0"/>
        <v>2.6688632619439989E-2</v>
      </c>
      <c r="V24">
        <f t="shared" si="0"/>
        <v>3.1664527171587631E-2</v>
      </c>
      <c r="W24">
        <f t="shared" si="0"/>
        <v>3.4160560394488115E-2</v>
      </c>
      <c r="X24">
        <f t="shared" si="0"/>
        <v>1.9841579305043489E-2</v>
      </c>
      <c r="Y24">
        <f t="shared" si="0"/>
        <v>1.082563195036168E-2</v>
      </c>
      <c r="Z24">
        <f t="shared" si="0"/>
        <v>1.4038235008051014E-2</v>
      </c>
      <c r="AA24">
        <f t="shared" si="0"/>
        <v>9.8900161991646307E-3</v>
      </c>
      <c r="AB24">
        <f t="shared" si="0"/>
        <v>8.5584634867030829E-3</v>
      </c>
      <c r="AC24">
        <f t="shared" si="0"/>
        <v>1.8959726276799316E-2</v>
      </c>
      <c r="AD24">
        <f t="shared" si="0"/>
        <v>1.6193791524187873E-2</v>
      </c>
      <c r="AE24">
        <f t="shared" si="0"/>
        <v>2.6475343573160171E-3</v>
      </c>
      <c r="AF24">
        <f t="shared" si="0"/>
        <v>7.8410030033662093E-3</v>
      </c>
      <c r="AG24">
        <f t="shared" si="0"/>
        <v>2.6200000000000001E-2</v>
      </c>
      <c r="AH24">
        <f t="shared" si="0"/>
        <v>5.2036640031182912E-2</v>
      </c>
      <c r="AI24">
        <f t="shared" si="0"/>
        <v>3.6680251945164999E-2</v>
      </c>
      <c r="AJ24">
        <f t="shared" si="0"/>
        <v>2.564331665475339E-2</v>
      </c>
    </row>
    <row r="25" spans="1:36" x14ac:dyDescent="0.3">
      <c r="A25" s="6" t="s">
        <v>42</v>
      </c>
      <c r="C25">
        <f t="shared" si="1"/>
        <v>8.8531967721911853E-2</v>
      </c>
      <c r="D25">
        <f t="shared" si="0"/>
        <v>5.9638368142181708E-2</v>
      </c>
      <c r="E25">
        <f t="shared" si="0"/>
        <v>4.8837365742090189E-2</v>
      </c>
      <c r="F25">
        <f t="shared" si="0"/>
        <v>6.5783003741314738E-2</v>
      </c>
      <c r="G25">
        <f t="shared" si="0"/>
        <v>4.4351279788173104E-2</v>
      </c>
      <c r="H25" s="9">
        <f t="shared" si="0"/>
        <v>5.5336803488081676E-2</v>
      </c>
      <c r="I25">
        <f t="shared" si="0"/>
        <v>4.9140943506115198E-2</v>
      </c>
      <c r="J25">
        <f t="shared" si="0"/>
        <v>8.0927763513982454E-2</v>
      </c>
      <c r="K25">
        <f t="shared" si="0"/>
        <v>6.1949317113099145E-3</v>
      </c>
      <c r="L25">
        <f t="shared" si="0"/>
        <v>2.0288699258314002E-2</v>
      </c>
      <c r="M25">
        <f t="shared" si="0"/>
        <v>3.6659527568902783E-2</v>
      </c>
      <c r="N25">
        <f t="shared" si="0"/>
        <v>2.1775847508746615E-2</v>
      </c>
      <c r="O25">
        <f t="shared" si="0"/>
        <v>3.2897455575889856E-2</v>
      </c>
      <c r="P25">
        <f t="shared" si="0"/>
        <v>4.2337643780810064E-2</v>
      </c>
      <c r="Q25">
        <f t="shared" si="0"/>
        <v>3.040522015682412E-2</v>
      </c>
      <c r="R25">
        <f t="shared" si="0"/>
        <v>2.2417050262086624E-2</v>
      </c>
      <c r="S25">
        <f t="shared" si="0"/>
        <v>2.6076433618300365E-2</v>
      </c>
      <c r="T25">
        <f t="shared" si="0"/>
        <v>4.7428825058651869E-2</v>
      </c>
      <c r="U25">
        <f t="shared" si="0"/>
        <v>2.5255766087535658E-2</v>
      </c>
      <c r="V25">
        <f t="shared" si="0"/>
        <v>2.9428088945572251E-2</v>
      </c>
      <c r="W25">
        <f t="shared" si="0"/>
        <v>4.0758032877152406E-2</v>
      </c>
      <c r="X25">
        <f t="shared" si="0"/>
        <v>1.7866984105989303E-2</v>
      </c>
      <c r="Y25">
        <f t="shared" si="0"/>
        <v>1.2918665468288237E-2</v>
      </c>
      <c r="Z25">
        <f t="shared" si="0"/>
        <v>1.6046611075475559E-2</v>
      </c>
      <c r="AA25">
        <f t="shared" si="0"/>
        <v>2.7882703254384911E-3</v>
      </c>
      <c r="AB25">
        <f t="shared" si="0"/>
        <v>9.1704614609784407E-3</v>
      </c>
      <c r="AC25">
        <f t="shared" si="0"/>
        <v>2.0908712830110199E-2</v>
      </c>
      <c r="AD25">
        <f t="shared" si="0"/>
        <v>1.1752604617531137E-2</v>
      </c>
      <c r="AE25">
        <f t="shared" si="0"/>
        <v>2.204439075947473E-3</v>
      </c>
      <c r="AF25">
        <f t="shared" si="0"/>
        <v>4.3790928448033117E-3</v>
      </c>
      <c r="AG25">
        <f t="shared" si="0"/>
        <v>2.5699999999999834E-2</v>
      </c>
      <c r="AH25">
        <f t="shared" si="0"/>
        <v>5.0892073705762098E-2</v>
      </c>
      <c r="AI25">
        <f t="shared" si="0"/>
        <v>3.6830874849243855E-2</v>
      </c>
      <c r="AJ25">
        <f t="shared" si="0"/>
        <v>2.5143163922691336E-2</v>
      </c>
    </row>
    <row r="26" spans="1:36" x14ac:dyDescent="0.3">
      <c r="A26" s="6" t="s">
        <v>43</v>
      </c>
      <c r="C26">
        <f t="shared" si="1"/>
        <v>8.4338303206227705E-2</v>
      </c>
      <c r="D26">
        <f t="shared" si="0"/>
        <v>7.2400282300260521E-2</v>
      </c>
      <c r="E26">
        <f t="shared" si="0"/>
        <v>6.3790677619933733E-2</v>
      </c>
      <c r="F26">
        <f t="shared" si="0"/>
        <v>8.0785886468843993E-2</v>
      </c>
      <c r="G26">
        <f t="shared" si="0"/>
        <v>5.6351650086846616E-2</v>
      </c>
      <c r="H26" s="9">
        <f t="shared" si="0"/>
        <v>4.8917206973224436E-2</v>
      </c>
      <c r="I26">
        <f t="shared" si="0"/>
        <v>4.3928246967240847E-2</v>
      </c>
      <c r="J26">
        <f t="shared" si="0"/>
        <v>7.49620326604441E-2</v>
      </c>
      <c r="K26">
        <f t="shared" si="0"/>
        <v>4.6034668867864781E-3</v>
      </c>
      <c r="L26">
        <f t="shared" si="0"/>
        <v>2.2706443763233608E-2</v>
      </c>
      <c r="M26">
        <f t="shared" si="0"/>
        <v>3.8239883812555053E-2</v>
      </c>
      <c r="N26">
        <f t="shared" si="0"/>
        <v>2.3438197565403884E-2</v>
      </c>
      <c r="O26">
        <f t="shared" si="0"/>
        <v>3.1523999243889378E-2</v>
      </c>
      <c r="P26">
        <f t="shared" si="0"/>
        <v>3.8158469714269616E-2</v>
      </c>
      <c r="Q26">
        <f t="shared" si="0"/>
        <v>2.9220073864870688E-2</v>
      </c>
      <c r="R26">
        <f t="shared" si="0"/>
        <v>2.5501319261213906E-2</v>
      </c>
      <c r="S26">
        <f t="shared" si="0"/>
        <v>2.454555980085682E-2</v>
      </c>
      <c r="T26">
        <f t="shared" si="0"/>
        <v>4.7111412463429536E-2</v>
      </c>
      <c r="U26">
        <f t="shared" si="0"/>
        <v>2.2723729809456472E-2</v>
      </c>
      <c r="V26">
        <f t="shared" si="0"/>
        <v>3.0578744958259074E-2</v>
      </c>
      <c r="W26">
        <f t="shared" si="0"/>
        <v>4.4837080185674116E-2</v>
      </c>
      <c r="X26">
        <f t="shared" si="0"/>
        <v>1.9948386815771268E-2</v>
      </c>
      <c r="Y26">
        <f t="shared" si="0"/>
        <v>9.8538470571907233E-3</v>
      </c>
      <c r="Z26">
        <f t="shared" si="0"/>
        <v>9.1656799729364913E-3</v>
      </c>
      <c r="AA26">
        <f t="shared" si="0"/>
        <v>1.9799076043116592E-3</v>
      </c>
      <c r="AB26">
        <f t="shared" si="0"/>
        <v>6.7852960856473743E-3</v>
      </c>
      <c r="AC26">
        <f t="shared" si="0"/>
        <v>1.6584109577660877E-2</v>
      </c>
      <c r="AD26">
        <f t="shared" si="0"/>
        <v>1.5506568329008985E-2</v>
      </c>
      <c r="AE26">
        <f t="shared" si="0"/>
        <v>2.1124210356897599E-3</v>
      </c>
      <c r="AF26">
        <f t="shared" si="0"/>
        <v>3.7943426150850446E-3</v>
      </c>
      <c r="AG26">
        <f t="shared" si="0"/>
        <v>2.4999999999999911E-2</v>
      </c>
      <c r="AH26">
        <f t="shared" si="0"/>
        <v>4.8975609756097604E-2</v>
      </c>
      <c r="AI26">
        <f t="shared" si="0"/>
        <v>3.4598214285714191E-2</v>
      </c>
      <c r="AJ26">
        <f t="shared" si="0"/>
        <v>2.373247033441217E-2</v>
      </c>
    </row>
    <row r="27" spans="1:36" x14ac:dyDescent="0.3">
      <c r="A27" s="6" t="s">
        <v>44</v>
      </c>
      <c r="C27">
        <f t="shared" si="1"/>
        <v>8.3102769261447218E-2</v>
      </c>
      <c r="D27">
        <f t="shared" si="0"/>
        <v>4.708535659218005E-2</v>
      </c>
      <c r="E27">
        <f t="shared" si="0"/>
        <v>2.5692872370821185E-2</v>
      </c>
      <c r="F27">
        <f t="shared" si="0"/>
        <v>5.230564841004548E-2</v>
      </c>
      <c r="G27">
        <f t="shared" si="0"/>
        <v>4.9522490785802953E-2</v>
      </c>
      <c r="H27" s="9">
        <f t="shared" si="0"/>
        <v>5.4500300731456619E-2</v>
      </c>
      <c r="I27">
        <f t="shared" si="0"/>
        <v>4.2741490340386434E-2</v>
      </c>
      <c r="J27">
        <f t="shared" si="0"/>
        <v>8.6760891429781495E-2</v>
      </c>
      <c r="K27">
        <f t="shared" si="0"/>
        <v>1.0878389348920159E-2</v>
      </c>
      <c r="L27">
        <f t="shared" si="0"/>
        <v>1.842274333440419E-2</v>
      </c>
      <c r="M27">
        <f t="shared" si="0"/>
        <v>3.958553472014148E-2</v>
      </c>
      <c r="N27">
        <f t="shared" si="0"/>
        <v>2.5881032207169641E-2</v>
      </c>
      <c r="O27">
        <f t="shared" si="0"/>
        <v>3.4071247948183281E-2</v>
      </c>
      <c r="P27">
        <f t="shared" si="0"/>
        <v>3.8168375591688397E-2</v>
      </c>
      <c r="Q27">
        <f t="shared" si="0"/>
        <v>3.0676621301448881E-2</v>
      </c>
      <c r="R27">
        <f t="shared" si="0"/>
        <v>2.7424722344733699E-2</v>
      </c>
      <c r="S27">
        <f t="shared" si="0"/>
        <v>2.847479674796749E-2</v>
      </c>
      <c r="T27">
        <f t="shared" si="0"/>
        <v>5.2059091369017763E-2</v>
      </c>
      <c r="U27">
        <f t="shared" si="0"/>
        <v>2.3238759317143476E-2</v>
      </c>
      <c r="V27">
        <f t="shared" si="0"/>
        <v>3.1746031746031633E-2</v>
      </c>
      <c r="W27">
        <f t="shared" si="0"/>
        <v>3.9833741388145549E-2</v>
      </c>
      <c r="X27">
        <f t="shared" si="0"/>
        <v>2.1453681294010707E-2</v>
      </c>
      <c r="Y27">
        <f t="shared" si="0"/>
        <v>1.5181404923235275E-2</v>
      </c>
      <c r="Z27">
        <f t="shared" si="0"/>
        <v>1.1870564379858006E-2</v>
      </c>
      <c r="AA27">
        <f t="shared" si="0"/>
        <v>4.5818895336702248E-3</v>
      </c>
      <c r="AB27">
        <f t="shared" si="0"/>
        <v>9.9115853341782412E-3</v>
      </c>
      <c r="AC27">
        <f t="shared" si="0"/>
        <v>1.8527853505478031E-2</v>
      </c>
      <c r="AD27">
        <f t="shared" si="0"/>
        <v>1.0302405914792923E-2</v>
      </c>
      <c r="AE27">
        <f t="shared" si="0"/>
        <v>-3.2091656169396243E-3</v>
      </c>
      <c r="AF27">
        <f t="shared" si="0"/>
        <v>2.9587282483325428E-3</v>
      </c>
      <c r="AG27">
        <f t="shared" si="0"/>
        <v>2.4899999999999922E-2</v>
      </c>
      <c r="AH27">
        <f t="shared" si="0"/>
        <v>4.956581129866322E-2</v>
      </c>
      <c r="AI27">
        <f t="shared" si="0"/>
        <v>3.5883610672120536E-2</v>
      </c>
      <c r="AJ27">
        <f t="shared" si="0"/>
        <v>2.279457955667219E-2</v>
      </c>
    </row>
    <row r="28" spans="1:36" x14ac:dyDescent="0.3">
      <c r="A28" s="6" t="s">
        <v>45</v>
      </c>
      <c r="C28" t="e">
        <f t="shared" si="1"/>
        <v>#VALUE!</v>
      </c>
      <c r="D28" t="e">
        <f t="shared" si="0"/>
        <v>#VALUE!</v>
      </c>
      <c r="H28" s="9"/>
      <c r="AG28">
        <f t="shared" si="0"/>
        <v>2.7099999999999902E-2</v>
      </c>
      <c r="AH28">
        <f t="shared" si="0"/>
        <v>5.3743549800409074E-2</v>
      </c>
      <c r="AI28">
        <f t="shared" si="0"/>
        <v>2.9843851057932191E-2</v>
      </c>
      <c r="AJ28">
        <f t="shared" si="0"/>
        <v>2.3685627130809239E-2</v>
      </c>
    </row>
    <row r="29" spans="1:36" x14ac:dyDescent="0.3">
      <c r="A29" s="6" t="s">
        <v>47</v>
      </c>
      <c r="C29">
        <f t="shared" si="1"/>
        <v>9.1504841384475455E-2</v>
      </c>
      <c r="D29">
        <f t="shared" si="0"/>
        <v>7.290415860023991E-2</v>
      </c>
      <c r="E29">
        <f t="shared" si="0"/>
        <v>5.1665067836097034E-2</v>
      </c>
      <c r="F29">
        <f t="shared" si="0"/>
        <v>6.1158891495091794E-2</v>
      </c>
      <c r="G29">
        <f t="shared" si="0"/>
        <v>5.2558329922226754E-2</v>
      </c>
      <c r="H29" s="9">
        <f t="shared" si="0"/>
        <v>5.6681185346503904E-2</v>
      </c>
      <c r="I29">
        <f t="shared" si="0"/>
        <v>4.495519202105136E-2</v>
      </c>
      <c r="J29">
        <f t="shared" ref="D29:AJ36" si="2">J11/I11-1</f>
        <v>7.0968196386433258E-2</v>
      </c>
      <c r="K29">
        <f t="shared" si="2"/>
        <v>9.1587740068401757E-3</v>
      </c>
      <c r="L29">
        <f t="shared" si="2"/>
        <v>2.5076173561664028E-2</v>
      </c>
      <c r="M29">
        <f t="shared" si="2"/>
        <v>4.1581892166836276E-2</v>
      </c>
      <c r="N29">
        <f t="shared" si="2"/>
        <v>3.1269075814918779E-2</v>
      </c>
      <c r="O29">
        <f t="shared" si="2"/>
        <v>3.3902067271408765E-2</v>
      </c>
      <c r="P29">
        <f t="shared" si="2"/>
        <v>3.4522241941947751E-2</v>
      </c>
      <c r="Q29">
        <f t="shared" si="2"/>
        <v>2.7725511898173849E-2</v>
      </c>
      <c r="R29">
        <f t="shared" si="2"/>
        <v>2.440633245382573E-2</v>
      </c>
      <c r="S29">
        <f t="shared" si="2"/>
        <v>2.5060120635504779E-2</v>
      </c>
      <c r="T29">
        <f t="shared" si="2"/>
        <v>4.8241115840213178E-2</v>
      </c>
      <c r="U29">
        <f t="shared" si="2"/>
        <v>2.8997028140937076E-2</v>
      </c>
      <c r="V29">
        <f t="shared" si="2"/>
        <v>2.8619648672419062E-2</v>
      </c>
      <c r="W29">
        <f t="shared" si="2"/>
        <v>3.8418875511288642E-2</v>
      </c>
      <c r="X29">
        <f t="shared" si="2"/>
        <v>2.1119159684436672E-2</v>
      </c>
      <c r="Y29">
        <f t="shared" si="2"/>
        <v>1.221545402042068E-2</v>
      </c>
      <c r="Z29">
        <f t="shared" si="2"/>
        <v>1.2358703843255325E-2</v>
      </c>
      <c r="AA29">
        <f t="shared" si="2"/>
        <v>7.4012633190838617E-3</v>
      </c>
      <c r="AB29">
        <f t="shared" si="2"/>
        <v>9.3947262862330572E-3</v>
      </c>
      <c r="AC29">
        <f t="shared" si="2"/>
        <v>2.0089098970969665E-2</v>
      </c>
      <c r="AD29">
        <f t="shared" si="2"/>
        <v>1.4854682454251922E-2</v>
      </c>
      <c r="AE29">
        <f t="shared" si="2"/>
        <v>4.0608521728588975E-3</v>
      </c>
      <c r="AF29">
        <f t="shared" si="2"/>
        <v>6.0767032878585869E-3</v>
      </c>
      <c r="AG29">
        <f t="shared" si="2"/>
        <v>2.5699999999999834E-2</v>
      </c>
      <c r="AH29">
        <f t="shared" si="2"/>
        <v>5.0209612947255566E-2</v>
      </c>
      <c r="AI29">
        <f t="shared" si="2"/>
        <v>3.5555142963237918E-2</v>
      </c>
      <c r="AJ29">
        <f t="shared" si="2"/>
        <v>2.3128641864634591E-2</v>
      </c>
    </row>
    <row r="30" spans="1:36" x14ac:dyDescent="0.3">
      <c r="A30" s="6" t="s">
        <v>48</v>
      </c>
      <c r="C30">
        <f t="shared" si="1"/>
        <v>9.6072491774168434E-2</v>
      </c>
      <c r="D30">
        <f t="shared" si="2"/>
        <v>6.9568532151621287E-2</v>
      </c>
      <c r="E30">
        <f t="shared" si="2"/>
        <v>4.4015770832869228E-2</v>
      </c>
      <c r="F30">
        <f t="shared" si="2"/>
        <v>6.4264225820905185E-2</v>
      </c>
      <c r="G30">
        <f t="shared" si="2"/>
        <v>4.3603776989234344E-2</v>
      </c>
      <c r="H30" s="9">
        <f t="shared" si="2"/>
        <v>5.6439219302289789E-2</v>
      </c>
      <c r="I30">
        <f t="shared" si="2"/>
        <v>3.8495108557297097E-2</v>
      </c>
      <c r="J30">
        <f t="shared" si="2"/>
        <v>8.7513788937332748E-2</v>
      </c>
      <c r="K30">
        <f t="shared" si="2"/>
        <v>1.3959329565763401E-2</v>
      </c>
      <c r="L30">
        <f t="shared" si="2"/>
        <v>1.7435213414634054E-2</v>
      </c>
      <c r="M30">
        <f t="shared" si="2"/>
        <v>3.8159003652027401E-2</v>
      </c>
      <c r="N30">
        <f t="shared" si="2"/>
        <v>1.797982531306852E-2</v>
      </c>
      <c r="O30">
        <f t="shared" si="2"/>
        <v>3.4467990843978447E-2</v>
      </c>
      <c r="P30">
        <f t="shared" si="2"/>
        <v>3.8487344573084448E-2</v>
      </c>
      <c r="Q30">
        <f t="shared" si="2"/>
        <v>3.5452608426695953E-2</v>
      </c>
      <c r="R30">
        <f t="shared" si="2"/>
        <v>2.2755031596835007E-2</v>
      </c>
      <c r="S30">
        <f t="shared" si="2"/>
        <v>2.3300189516861858E-2</v>
      </c>
      <c r="T30">
        <f t="shared" si="2"/>
        <v>5.3188385574568953E-2</v>
      </c>
      <c r="U30">
        <f t="shared" si="2"/>
        <v>1.8982005636788646E-2</v>
      </c>
      <c r="V30">
        <f t="shared" si="2"/>
        <v>3.0188411621474787E-2</v>
      </c>
      <c r="W30">
        <f t="shared" si="2"/>
        <v>4.3336087016384361E-2</v>
      </c>
      <c r="X30">
        <f t="shared" si="2"/>
        <v>1.9343912550998876E-2</v>
      </c>
      <c r="Y30">
        <f t="shared" si="2"/>
        <v>1.0842359642687649E-2</v>
      </c>
      <c r="Z30">
        <f t="shared" si="2"/>
        <v>6.7985100910381568E-3</v>
      </c>
      <c r="AA30">
        <f t="shared" si="2"/>
        <v>3.7102211291784037E-4</v>
      </c>
      <c r="AB30">
        <f t="shared" si="2"/>
        <v>7.8521548389831608E-3</v>
      </c>
      <c r="AC30">
        <f t="shared" si="2"/>
        <v>2.0008411313216401E-2</v>
      </c>
      <c r="AD30">
        <f t="shared" si="2"/>
        <v>1.5915392782410498E-2</v>
      </c>
      <c r="AE30">
        <f t="shared" si="2"/>
        <v>8.3910833324878364E-3</v>
      </c>
      <c r="AF30">
        <f t="shared" si="2"/>
        <v>6.1981807936890565E-3</v>
      </c>
      <c r="AG30">
        <f t="shared" si="2"/>
        <v>2.8000000000000025E-2</v>
      </c>
      <c r="AH30">
        <f t="shared" si="2"/>
        <v>6.0116731517509736E-2</v>
      </c>
      <c r="AI30">
        <f t="shared" si="2"/>
        <v>3.6795742338043613E-2</v>
      </c>
      <c r="AJ30">
        <f t="shared" si="2"/>
        <v>2.3453402956013836E-2</v>
      </c>
    </row>
    <row r="31" spans="1:36" x14ac:dyDescent="0.3">
      <c r="A31" s="6" t="s">
        <v>49</v>
      </c>
      <c r="C31">
        <f t="shared" si="1"/>
        <v>8.4770258148111344E-2</v>
      </c>
      <c r="D31">
        <f t="shared" si="2"/>
        <v>5.7012909450085081E-2</v>
      </c>
      <c r="E31">
        <f t="shared" si="2"/>
        <v>4.1203059805285047E-2</v>
      </c>
      <c r="F31">
        <f t="shared" si="2"/>
        <v>6.1926031056937614E-2</v>
      </c>
      <c r="G31">
        <f t="shared" si="2"/>
        <v>4.1962302718213884E-2</v>
      </c>
      <c r="H31" s="9">
        <f t="shared" si="2"/>
        <v>5.0835628324593429E-2</v>
      </c>
      <c r="I31">
        <f t="shared" si="2"/>
        <v>4.7801970956218964E-2</v>
      </c>
      <c r="J31">
        <f t="shared" si="2"/>
        <v>7.3871034057424678E-2</v>
      </c>
      <c r="K31">
        <f t="shared" si="2"/>
        <v>8.1679535447642948E-3</v>
      </c>
      <c r="L31">
        <f t="shared" si="2"/>
        <v>1.9937970757643031E-2</v>
      </c>
      <c r="M31">
        <f t="shared" si="2"/>
        <v>3.5993545984857711E-2</v>
      </c>
      <c r="N31">
        <f t="shared" si="2"/>
        <v>1.762609320714037E-2</v>
      </c>
      <c r="O31">
        <f t="shared" si="2"/>
        <v>3.5318528983267816E-2</v>
      </c>
      <c r="P31">
        <f t="shared" si="2"/>
        <v>3.313291544070629E-2</v>
      </c>
      <c r="Q31">
        <f t="shared" si="2"/>
        <v>3.1341147983050099E-2</v>
      </c>
      <c r="R31">
        <f t="shared" si="2"/>
        <v>2.2664816840532565E-2</v>
      </c>
      <c r="S31">
        <f t="shared" si="2"/>
        <v>2.7223751320749834E-2</v>
      </c>
      <c r="T31">
        <f t="shared" si="2"/>
        <v>5.1315588967338899E-2</v>
      </c>
      <c r="U31">
        <f t="shared" si="2"/>
        <v>2.4363140030680297E-2</v>
      </c>
      <c r="V31">
        <f t="shared" si="2"/>
        <v>2.9408296582788873E-2</v>
      </c>
      <c r="W31">
        <f t="shared" si="2"/>
        <v>4.4077892325314894E-2</v>
      </c>
      <c r="X31">
        <f t="shared" si="2"/>
        <v>1.9638390310264597E-2</v>
      </c>
      <c r="Y31">
        <f t="shared" si="2"/>
        <v>1.2545998407540448E-2</v>
      </c>
      <c r="Z31">
        <f t="shared" si="2"/>
        <v>1.1859219586840108E-2</v>
      </c>
      <c r="AA31">
        <f t="shared" si="2"/>
        <v>-1.5437933207309573E-3</v>
      </c>
      <c r="AB31">
        <f t="shared" si="2"/>
        <v>5.6798460130638162E-3</v>
      </c>
      <c r="AC31">
        <f t="shared" si="2"/>
        <v>1.9986821875686456E-2</v>
      </c>
      <c r="AD31">
        <f t="shared" si="2"/>
        <v>1.6385710184159796E-2</v>
      </c>
      <c r="AE31">
        <f t="shared" si="2"/>
        <v>3.6823308649946984E-3</v>
      </c>
      <c r="AF31">
        <f t="shared" si="2"/>
        <v>5.1564526018474943E-3</v>
      </c>
      <c r="AG31">
        <f t="shared" si="2"/>
        <v>2.6899999999999924E-2</v>
      </c>
      <c r="AH31">
        <f t="shared" si="2"/>
        <v>5.6772811374038445E-2</v>
      </c>
      <c r="AI31">
        <f t="shared" si="2"/>
        <v>3.5661629192775601E-2</v>
      </c>
      <c r="AJ31">
        <f t="shared" si="2"/>
        <v>2.1710116558412595E-2</v>
      </c>
    </row>
    <row r="32" spans="1:36" x14ac:dyDescent="0.3">
      <c r="A32" s="6" t="s">
        <v>50</v>
      </c>
      <c r="C32">
        <f t="shared" si="1"/>
        <v>8.5666452028332341E-2</v>
      </c>
      <c r="D32">
        <f t="shared" si="2"/>
        <v>6.6617636592251728E-2</v>
      </c>
      <c r="E32">
        <f t="shared" si="2"/>
        <v>4.5997464356413609E-2</v>
      </c>
      <c r="F32">
        <f t="shared" si="2"/>
        <v>7.2022455185319023E-2</v>
      </c>
      <c r="G32">
        <f t="shared" si="2"/>
        <v>4.766533105883286E-2</v>
      </c>
      <c r="H32" s="9">
        <f t="shared" si="2"/>
        <v>6.717534127269631E-2</v>
      </c>
      <c r="I32">
        <f t="shared" si="2"/>
        <v>4.4974718353588239E-2</v>
      </c>
      <c r="J32">
        <f t="shared" si="2"/>
        <v>7.1833616298811576E-2</v>
      </c>
      <c r="K32">
        <f t="shared" si="2"/>
        <v>6.1301104053477218E-3</v>
      </c>
      <c r="L32">
        <f t="shared" si="2"/>
        <v>9.14701344500779E-3</v>
      </c>
      <c r="M32">
        <f t="shared" si="2"/>
        <v>3.5741587232249961E-2</v>
      </c>
      <c r="N32">
        <f t="shared" si="2"/>
        <v>2.1162825726766199E-2</v>
      </c>
      <c r="O32">
        <f t="shared" si="2"/>
        <v>3.6639870196917057E-2</v>
      </c>
      <c r="P32">
        <f t="shared" si="2"/>
        <v>3.898746424963373E-2</v>
      </c>
      <c r="Q32">
        <f t="shared" si="2"/>
        <v>3.2101233925416528E-2</v>
      </c>
      <c r="R32">
        <f t="shared" si="2"/>
        <v>2.5582845693510103E-2</v>
      </c>
      <c r="S32">
        <f t="shared" si="2"/>
        <v>2.4957627666869486E-2</v>
      </c>
      <c r="T32">
        <f t="shared" si="2"/>
        <v>4.9229992426155E-2</v>
      </c>
      <c r="U32">
        <f t="shared" si="2"/>
        <v>2.7273820981713159E-2</v>
      </c>
      <c r="V32">
        <f t="shared" si="2"/>
        <v>3.0063124363193472E-2</v>
      </c>
      <c r="W32">
        <f t="shared" si="2"/>
        <v>4.1010073447484086E-2</v>
      </c>
      <c r="X32">
        <f t="shared" si="2"/>
        <v>2.3940323937047259E-2</v>
      </c>
      <c r="Y32">
        <f t="shared" si="2"/>
        <v>1.1882286433500866E-2</v>
      </c>
      <c r="Z32">
        <f t="shared" si="2"/>
        <v>4.659154395100451E-3</v>
      </c>
      <c r="AA32">
        <f t="shared" si="2"/>
        <v>2.1613908445163865E-3</v>
      </c>
      <c r="AB32">
        <f t="shared" si="2"/>
        <v>6.8680311992881382E-3</v>
      </c>
      <c r="AC32">
        <f t="shared" si="2"/>
        <v>1.939254037079774E-2</v>
      </c>
      <c r="AD32">
        <f t="shared" si="2"/>
        <v>1.4290668733934364E-2</v>
      </c>
      <c r="AE32">
        <f t="shared" si="2"/>
        <v>-9.4532216378206968E-4</v>
      </c>
      <c r="AF32">
        <f t="shared" si="2"/>
        <v>6.6134503689236901E-3</v>
      </c>
      <c r="AG32">
        <f t="shared" si="2"/>
        <v>2.7700000000000058E-2</v>
      </c>
      <c r="AH32">
        <f t="shared" si="2"/>
        <v>5.8090882553274215E-2</v>
      </c>
      <c r="AI32">
        <f t="shared" si="2"/>
        <v>3.3198455030347684E-2</v>
      </c>
      <c r="AJ32">
        <f t="shared" si="2"/>
        <v>1.97596795727637E-2</v>
      </c>
    </row>
    <row r="33" spans="1:36" x14ac:dyDescent="0.3">
      <c r="A33" s="6" t="s">
        <v>51</v>
      </c>
      <c r="C33">
        <f t="shared" si="1"/>
        <v>8.6110601253375885E-2</v>
      </c>
      <c r="D33">
        <f t="shared" si="2"/>
        <v>7.3416865840998602E-2</v>
      </c>
      <c r="E33">
        <f t="shared" si="2"/>
        <v>4.8963159551977053E-2</v>
      </c>
      <c r="F33">
        <f t="shared" si="2"/>
        <v>7.3800896245631353E-2</v>
      </c>
      <c r="G33">
        <f t="shared" si="2"/>
        <v>5.558994429024966E-2</v>
      </c>
      <c r="H33" s="9">
        <f t="shared" si="2"/>
        <v>5.2813770925943304E-2</v>
      </c>
      <c r="I33">
        <f t="shared" si="2"/>
        <v>4.4414898395529701E-2</v>
      </c>
      <c r="J33">
        <f t="shared" si="2"/>
        <v>7.1995045502245114E-2</v>
      </c>
      <c r="K33">
        <f t="shared" si="2"/>
        <v>6.4191032512761481E-4</v>
      </c>
      <c r="L33">
        <f t="shared" si="2"/>
        <v>2.5146742791160026E-2</v>
      </c>
      <c r="M33">
        <f t="shared" si="2"/>
        <v>3.867213166046124E-2</v>
      </c>
      <c r="N33">
        <f t="shared" si="2"/>
        <v>1.9971684188330174E-2</v>
      </c>
      <c r="O33">
        <f t="shared" si="2"/>
        <v>3.4214412285883178E-2</v>
      </c>
      <c r="P33">
        <f t="shared" si="2"/>
        <v>3.8636720590544904E-2</v>
      </c>
      <c r="Q33">
        <f t="shared" si="2"/>
        <v>2.7535295492349787E-2</v>
      </c>
      <c r="R33">
        <f t="shared" si="2"/>
        <v>2.183394429133334E-2</v>
      </c>
      <c r="S33">
        <f t="shared" si="2"/>
        <v>2.4548953887244984E-2</v>
      </c>
      <c r="T33">
        <f t="shared" si="2"/>
        <v>4.9033263900425617E-2</v>
      </c>
      <c r="U33">
        <f t="shared" si="2"/>
        <v>2.9138750152271742E-2</v>
      </c>
      <c r="V33">
        <f t="shared" si="2"/>
        <v>3.2764375843374882E-2</v>
      </c>
      <c r="W33">
        <f t="shared" si="2"/>
        <v>4.3736389684813748E-2</v>
      </c>
      <c r="X33">
        <f t="shared" si="2"/>
        <v>2.1797377726044731E-2</v>
      </c>
      <c r="Y33">
        <f t="shared" si="2"/>
        <v>1.2057903730212427E-2</v>
      </c>
      <c r="Z33">
        <f t="shared" si="2"/>
        <v>1.1255880135495389E-2</v>
      </c>
      <c r="AA33">
        <f t="shared" si="2"/>
        <v>-2.9401572984155688E-4</v>
      </c>
      <c r="AB33">
        <f t="shared" si="2"/>
        <v>5.3883724594296911E-3</v>
      </c>
      <c r="AC33">
        <f t="shared" si="2"/>
        <v>1.8533609143525753E-2</v>
      </c>
      <c r="AD33">
        <f t="shared" si="2"/>
        <v>1.7088581627210386E-2</v>
      </c>
      <c r="AE33">
        <f t="shared" si="2"/>
        <v>3.1162387301075789E-3</v>
      </c>
      <c r="AF33">
        <f t="shared" si="2"/>
        <v>5.3585611308273329E-3</v>
      </c>
      <c r="AG33">
        <f t="shared" si="2"/>
        <v>2.5900000000000034E-2</v>
      </c>
      <c r="AH33">
        <f t="shared" si="2"/>
        <v>5.3319036943171749E-2</v>
      </c>
      <c r="AI33">
        <f t="shared" si="2"/>
        <v>3.2944660373866341E-2</v>
      </c>
      <c r="AJ33">
        <f t="shared" si="2"/>
        <v>2.3472495968464235E-2</v>
      </c>
    </row>
    <row r="34" spans="1:36" x14ac:dyDescent="0.3">
      <c r="A34" s="6" t="s">
        <v>52</v>
      </c>
      <c r="C34">
        <f t="shared" si="1"/>
        <v>8.6099371198845587E-2</v>
      </c>
      <c r="D34">
        <f t="shared" si="2"/>
        <v>5.8156364930596505E-2</v>
      </c>
      <c r="E34">
        <f t="shared" si="2"/>
        <v>4.5676742308727425E-2</v>
      </c>
      <c r="F34">
        <f t="shared" si="2"/>
        <v>6.6712413955782424E-2</v>
      </c>
      <c r="G34">
        <f t="shared" si="2"/>
        <v>5.0096494049533646E-2</v>
      </c>
      <c r="H34" s="9">
        <f t="shared" si="2"/>
        <v>5.4655792939735104E-2</v>
      </c>
      <c r="I34">
        <f t="shared" si="2"/>
        <v>4.2021382802998719E-2</v>
      </c>
      <c r="J34">
        <f t="shared" si="2"/>
        <v>8.3109779465561084E-2</v>
      </c>
      <c r="K34">
        <f t="shared" si="2"/>
        <v>1.1483345931775357E-2</v>
      </c>
      <c r="L34">
        <f t="shared" si="2"/>
        <v>2.4852522618498574E-2</v>
      </c>
      <c r="M34">
        <f t="shared" si="2"/>
        <v>3.4070810190213408E-2</v>
      </c>
      <c r="N34">
        <f t="shared" si="2"/>
        <v>2.0150037509377272E-2</v>
      </c>
      <c r="O34">
        <f t="shared" si="2"/>
        <v>3.1444413395496751E-2</v>
      </c>
      <c r="P34">
        <f t="shared" si="2"/>
        <v>3.5148507792559736E-2</v>
      </c>
      <c r="Q34">
        <f t="shared" si="2"/>
        <v>2.6406413576505638E-2</v>
      </c>
      <c r="R34">
        <f t="shared" si="2"/>
        <v>2.0842000724705656E-2</v>
      </c>
      <c r="S34">
        <f t="shared" si="2"/>
        <v>2.4728525228091325E-2</v>
      </c>
      <c r="T34">
        <f t="shared" si="2"/>
        <v>4.7801711419297677E-2</v>
      </c>
      <c r="U34">
        <f t="shared" si="2"/>
        <v>2.7903958468526779E-2</v>
      </c>
      <c r="V34">
        <f t="shared" si="2"/>
        <v>3.3364303411473228E-2</v>
      </c>
      <c r="W34">
        <f t="shared" si="2"/>
        <v>4.4747732066902746E-2</v>
      </c>
      <c r="X34">
        <f t="shared" si="2"/>
        <v>1.9848844265460297E-2</v>
      </c>
      <c r="Y34">
        <f t="shared" si="2"/>
        <v>1.3555618062617736E-2</v>
      </c>
      <c r="Z34">
        <f t="shared" si="2"/>
        <v>1.0033409117593761E-2</v>
      </c>
      <c r="AA34">
        <f t="shared" si="2"/>
        <v>-3.381698669512323E-4</v>
      </c>
      <c r="AB34">
        <f t="shared" si="2"/>
        <v>9.4191024895609043E-3</v>
      </c>
      <c r="AC34">
        <f t="shared" si="2"/>
        <v>2.1175879186477564E-2</v>
      </c>
      <c r="AD34">
        <f t="shared" si="2"/>
        <v>1.5003897116134146E-2</v>
      </c>
      <c r="AE34">
        <f t="shared" si="2"/>
        <v>3.3242060805689366E-3</v>
      </c>
      <c r="AF34">
        <f t="shared" si="2"/>
        <v>7.0493454179254567E-3</v>
      </c>
      <c r="AG34">
        <f t="shared" si="2"/>
        <v>2.6200000000000001E-2</v>
      </c>
      <c r="AH34">
        <f t="shared" si="2"/>
        <v>5.6616643929058741E-2</v>
      </c>
      <c r="AI34">
        <f t="shared" si="2"/>
        <v>3.4861200774693124E-2</v>
      </c>
      <c r="AJ34">
        <f t="shared" si="2"/>
        <v>2.513144995989669E-2</v>
      </c>
    </row>
    <row r="35" spans="1:36" x14ac:dyDescent="0.3">
      <c r="A35" s="6" t="s">
        <v>53</v>
      </c>
      <c r="C35">
        <f t="shared" si="1"/>
        <v>8.2593555348472236E-2</v>
      </c>
      <c r="D35">
        <f t="shared" si="2"/>
        <v>5.9869523852670747E-2</v>
      </c>
      <c r="E35">
        <f t="shared" si="2"/>
        <v>3.413195409177372E-2</v>
      </c>
      <c r="F35">
        <f t="shared" si="2"/>
        <v>6.1794734013970842E-2</v>
      </c>
      <c r="G35">
        <f t="shared" si="2"/>
        <v>5.5862659607599063E-2</v>
      </c>
      <c r="H35" s="9">
        <f t="shared" si="2"/>
        <v>5.4934926077498725E-2</v>
      </c>
      <c r="I35">
        <f t="shared" si="2"/>
        <v>4.7391046028029349E-2</v>
      </c>
      <c r="J35">
        <f t="shared" si="2"/>
        <v>7.1657379291935053E-2</v>
      </c>
      <c r="K35">
        <f t="shared" si="2"/>
        <v>9.216446374916254E-3</v>
      </c>
      <c r="L35">
        <f t="shared" si="2"/>
        <v>1.4022367913613554E-2</v>
      </c>
      <c r="M35">
        <f t="shared" si="2"/>
        <v>3.5080780113792231E-2</v>
      </c>
      <c r="N35">
        <f t="shared" si="2"/>
        <v>1.7636684303350858E-2</v>
      </c>
      <c r="O35">
        <f t="shared" si="2"/>
        <v>2.5635470826112172E-2</v>
      </c>
      <c r="P35">
        <f t="shared" si="2"/>
        <v>3.3781595437583523E-2</v>
      </c>
      <c r="Q35">
        <f t="shared" si="2"/>
        <v>2.968098727763091E-2</v>
      </c>
      <c r="R35">
        <f t="shared" si="2"/>
        <v>2.3176749169896649E-2</v>
      </c>
      <c r="S35">
        <f t="shared" si="2"/>
        <v>2.4513543215463285E-2</v>
      </c>
      <c r="T35">
        <f t="shared" si="2"/>
        <v>5.2952385759897025E-2</v>
      </c>
      <c r="U35">
        <f t="shared" si="2"/>
        <v>2.3634598559392206E-2</v>
      </c>
      <c r="V35">
        <f t="shared" si="2"/>
        <v>3.1636010256530289E-2</v>
      </c>
      <c r="W35">
        <f t="shared" si="2"/>
        <v>4.2582651428311857E-2</v>
      </c>
      <c r="X35">
        <f t="shared" si="2"/>
        <v>2.0138684780597105E-2</v>
      </c>
      <c r="Y35">
        <f t="shared" si="2"/>
        <v>1.1577902745617097E-2</v>
      </c>
      <c r="Z35">
        <f t="shared" si="2"/>
        <v>1.0126795923964593E-2</v>
      </c>
      <c r="AA35">
        <f t="shared" si="2"/>
        <v>3.8639069320578479E-4</v>
      </c>
      <c r="AB35">
        <f t="shared" si="2"/>
        <v>6.8583955321257495E-3</v>
      </c>
      <c r="AC35">
        <f t="shared" si="2"/>
        <v>1.8537718243271328E-2</v>
      </c>
      <c r="AD35">
        <f t="shared" si="2"/>
        <v>1.489210097719873E-2</v>
      </c>
      <c r="AE35">
        <f t="shared" si="2"/>
        <v>1.7251236171429429E-3</v>
      </c>
      <c r="AF35">
        <f t="shared" si="2"/>
        <v>1.2515644555695093E-3</v>
      </c>
      <c r="AG35">
        <f t="shared" si="2"/>
        <v>2.7399999999999869E-2</v>
      </c>
      <c r="AH35">
        <f t="shared" si="2"/>
        <v>5.8399844267081891E-2</v>
      </c>
      <c r="AI35">
        <f t="shared" si="2"/>
        <v>3.3566304947581393E-2</v>
      </c>
      <c r="AJ35">
        <f t="shared" si="2"/>
        <v>2.2154995996084947E-2</v>
      </c>
    </row>
    <row r="36" spans="1:36" x14ac:dyDescent="0.3">
      <c r="A36" s="6" t="s">
        <v>54</v>
      </c>
      <c r="C36">
        <f t="shared" si="1"/>
        <v>9.0982044337446055E-2</v>
      </c>
      <c r="D36">
        <f t="shared" si="2"/>
        <v>5.8799190878999541E-2</v>
      </c>
      <c r="E36">
        <f t="shared" si="2"/>
        <v>3.1783248664843056E-2</v>
      </c>
      <c r="F36">
        <f t="shared" si="2"/>
        <v>5.4454403905230597E-2</v>
      </c>
      <c r="G36">
        <f t="shared" si="2"/>
        <v>4.6952947280201274E-2</v>
      </c>
      <c r="H36" s="9">
        <f t="shared" si="2"/>
        <v>4.8811633979453761E-2</v>
      </c>
      <c r="I36">
        <f t="shared" si="2"/>
        <v>4.9901868139856198E-2</v>
      </c>
      <c r="J36">
        <f t="shared" si="2"/>
        <v>8.1645722989580172E-2</v>
      </c>
      <c r="K36">
        <f t="shared" si="2"/>
        <v>3.296474692355833E-3</v>
      </c>
      <c r="L36">
        <f t="shared" si="2"/>
        <v>1.8310285978595298E-2</v>
      </c>
      <c r="M36">
        <f t="shared" si="2"/>
        <v>3.8938053097345104E-2</v>
      </c>
      <c r="N36">
        <f t="shared" si="2"/>
        <v>2.4950626403943854E-2</v>
      </c>
      <c r="O36">
        <f t="shared" si="2"/>
        <v>3.6228046950842696E-2</v>
      </c>
      <c r="P36">
        <f t="shared" si="2"/>
        <v>3.1937997700464127E-2</v>
      </c>
      <c r="Q36">
        <f t="shared" si="2"/>
        <v>2.6369000949119092E-2</v>
      </c>
      <c r="R36">
        <f t="shared" si="2"/>
        <v>1.999571137557643E-2</v>
      </c>
      <c r="S36">
        <f t="shared" si="2"/>
        <v>2.3532348767540734E-2</v>
      </c>
      <c r="T36">
        <f t="shared" si="2"/>
        <v>5.1078961219014341E-2</v>
      </c>
      <c r="U36">
        <f t="shared" si="2"/>
        <v>2.9226410024670857E-2</v>
      </c>
      <c r="V36">
        <f t="shared" si="2"/>
        <v>3.3700798613995442E-2</v>
      </c>
      <c r="W36">
        <f t="shared" si="2"/>
        <v>4.2095716958822749E-2</v>
      </c>
      <c r="X36">
        <f t="shared" si="2"/>
        <v>1.9189671506312012E-2</v>
      </c>
      <c r="Y36">
        <f t="shared" si="2"/>
        <v>1.3002594033722392E-2</v>
      </c>
      <c r="Z36">
        <f t="shared" si="2"/>
        <v>1.3593248188811691E-2</v>
      </c>
      <c r="AA36">
        <f t="shared" si="2"/>
        <v>5.515963662010348E-3</v>
      </c>
      <c r="AB36">
        <f t="shared" si="2"/>
        <v>9.2545094795908334E-3</v>
      </c>
      <c r="AC36">
        <f t="shared" si="2"/>
        <v>1.604688553498268E-2</v>
      </c>
      <c r="AD36">
        <f t="shared" si="2"/>
        <v>1.3802678863116702E-2</v>
      </c>
      <c r="AE36">
        <f t="shared" si="2"/>
        <v>8.156771127043605E-4</v>
      </c>
      <c r="AF36">
        <f t="shared" si="2"/>
        <v>6.1880565477687721E-3</v>
      </c>
      <c r="AG36">
        <f t="shared" si="2"/>
        <v>2.53000000000001E-2</v>
      </c>
      <c r="AH36">
        <f t="shared" ref="D36:AJ37" si="3">AH18/AG18-1</f>
        <v>5.3155174095386837E-2</v>
      </c>
      <c r="AI36">
        <f t="shared" si="3"/>
        <v>3.5006482681978257E-2</v>
      </c>
      <c r="AJ36">
        <f t="shared" si="3"/>
        <v>2.2279885468861726E-2</v>
      </c>
    </row>
    <row r="37" spans="1:36" x14ac:dyDescent="0.3">
      <c r="A37" s="7" t="s">
        <v>55</v>
      </c>
      <c r="C37">
        <f t="shared" si="1"/>
        <v>9.5028859653683906E-2</v>
      </c>
      <c r="D37">
        <f t="shared" si="3"/>
        <v>7.0042975520573814E-2</v>
      </c>
      <c r="E37">
        <f t="shared" si="3"/>
        <v>5.0014422970244166E-2</v>
      </c>
      <c r="F37">
        <f t="shared" si="3"/>
        <v>6.2445848566175854E-2</v>
      </c>
      <c r="G37">
        <f t="shared" si="3"/>
        <v>5.0242660513962756E-2</v>
      </c>
      <c r="H37" s="9">
        <f t="shared" si="3"/>
        <v>4.8653460096208523E-2</v>
      </c>
      <c r="I37">
        <f t="shared" si="3"/>
        <v>4.4427588448826993E-2</v>
      </c>
      <c r="J37">
        <f t="shared" si="3"/>
        <v>7.6550638930677373E-2</v>
      </c>
      <c r="K37">
        <f t="shared" si="3"/>
        <v>1.2657007934723241E-2</v>
      </c>
      <c r="L37">
        <f t="shared" si="3"/>
        <v>2.0810202074675654E-2</v>
      </c>
      <c r="M37">
        <f t="shared" si="3"/>
        <v>2.9988501817955759E-2</v>
      </c>
      <c r="N37">
        <f t="shared" si="3"/>
        <v>2.8572290610668682E-2</v>
      </c>
      <c r="O37">
        <f t="shared" si="3"/>
        <v>3.255991317356477E-2</v>
      </c>
      <c r="P37">
        <f t="shared" si="3"/>
        <v>4.0069884378284737E-2</v>
      </c>
      <c r="Q37">
        <f t="shared" si="3"/>
        <v>2.5060431831528396E-2</v>
      </c>
      <c r="R37">
        <f t="shared" si="3"/>
        <v>1.9251778624530314E-2</v>
      </c>
      <c r="S37">
        <f t="shared" si="3"/>
        <v>2.1332496764832731E-2</v>
      </c>
      <c r="T37">
        <f t="shared" si="3"/>
        <v>5.1142253791514714E-2</v>
      </c>
      <c r="U37">
        <f t="shared" si="3"/>
        <v>1.8129573486259876E-2</v>
      </c>
      <c r="V37">
        <f t="shared" si="3"/>
        <v>3.3795742645300164E-2</v>
      </c>
      <c r="W37">
        <f t="shared" si="3"/>
        <v>4.2916965504476767E-2</v>
      </c>
      <c r="X37">
        <f t="shared" si="3"/>
        <v>1.2212165579661871E-2</v>
      </c>
      <c r="Y37">
        <f t="shared" si="3"/>
        <v>1.3829076125666973E-2</v>
      </c>
      <c r="Z37">
        <f t="shared" si="3"/>
        <v>1.1143656978566563E-2</v>
      </c>
      <c r="AA37">
        <f t="shared" si="3"/>
        <v>6.402993051843886E-3</v>
      </c>
      <c r="AB37">
        <f t="shared" si="3"/>
        <v>1.2926318920009727E-2</v>
      </c>
      <c r="AC37">
        <f t="shared" si="3"/>
        <v>2.2932701382043952E-2</v>
      </c>
      <c r="AD37">
        <f t="shared" si="3"/>
        <v>1.7416173772205834E-2</v>
      </c>
      <c r="AE37">
        <f t="shared" si="3"/>
        <v>3.2442671180430427E-3</v>
      </c>
      <c r="AF37">
        <f t="shared" si="3"/>
        <v>4.2782252395203724E-3</v>
      </c>
      <c r="AG37">
        <f t="shared" si="3"/>
        <v>2.629999999999999E-2</v>
      </c>
      <c r="AH37">
        <f t="shared" si="3"/>
        <v>5.9241937055441785E-2</v>
      </c>
      <c r="AI37">
        <f t="shared" si="3"/>
        <v>2.9804065863306084E-2</v>
      </c>
      <c r="AJ37">
        <f t="shared" si="3"/>
        <v>1.8043769539973109E-2</v>
      </c>
    </row>
    <row r="39" spans="1:36" x14ac:dyDescent="0.3">
      <c r="H39">
        <f>AVERAGE(H36,H27)</f>
        <v>5.165596735545519E-2</v>
      </c>
      <c r="I39">
        <f>AVERAGE(I36,I27)</f>
        <v>4.6321679240121316E-2</v>
      </c>
      <c r="M39">
        <f>AVERAGE(M36,M27)</f>
        <v>3.9261793908743292E-2</v>
      </c>
      <c r="N39">
        <f>AVERAGE(N36,N27)</f>
        <v>2.5415829305556747E-2</v>
      </c>
      <c r="R39">
        <f>AVERAGE(R36,R27)</f>
        <v>2.3710216860155064E-2</v>
      </c>
      <c r="S39">
        <f>AVERAGE(S36,S27)</f>
        <v>2.6003572757754112E-2</v>
      </c>
      <c r="W39">
        <f>AVERAGE(W36,W27)</f>
        <v>4.0964729173484149E-2</v>
      </c>
      <c r="X39">
        <f>AVERAGE(X36,X27)</f>
        <v>2.0321676400161359E-2</v>
      </c>
      <c r="AA39">
        <f>AVERAGE(AA36,AA27)</f>
        <v>5.0489265978402864E-3</v>
      </c>
      <c r="AB39">
        <f>AVERAGE(AB36,AB27)</f>
        <v>9.5830474068845373E-3</v>
      </c>
      <c r="AC39">
        <f>AVERAGE(AC36,AC27)</f>
        <v>1.7287369520230356E-2</v>
      </c>
      <c r="AF39">
        <f>AVERAGE(AF36,AF27)</f>
        <v>4.5733923980506574E-3</v>
      </c>
      <c r="AG39">
        <f>AVERAGE(AG36,AG27)</f>
        <v>2.5100000000000011E-2</v>
      </c>
      <c r="AI39">
        <f t="shared" ref="AI39:AJ39" si="4">AVERAGE(AI36,AI27)</f>
        <v>3.5445046677049397E-2</v>
      </c>
      <c r="AJ39">
        <f t="shared" si="4"/>
        <v>2.2537232512766958E-2</v>
      </c>
    </row>
    <row r="40" spans="1:36" x14ac:dyDescent="0.3">
      <c r="C40" s="12"/>
      <c r="D40" s="12"/>
      <c r="H40" s="12">
        <f>H36*$AD$40+H27*(1-$AD$40)</f>
        <v>5.0222423333950474E-2</v>
      </c>
      <c r="I40" s="12">
        <f>I36*$AD$40+I27*(1-$AD$40)</f>
        <v>4.81260944455877E-2</v>
      </c>
      <c r="M40" s="12">
        <f>M36*$AD$40+M27*(1-$AD$40)</f>
        <v>3.9098628539798605E-2</v>
      </c>
      <c r="N40" s="12">
        <f>N36*$AD$40+N27*(1-$AD$40)</f>
        <v>2.5181367043143849E-2</v>
      </c>
      <c r="R40" s="12">
        <f>R36*$AD$40+R27*(1-$AD$40)</f>
        <v>2.1838106095927432E-2</v>
      </c>
      <c r="S40" s="12">
        <f>S36*$AD$40+S27*(1-$AD$40)</f>
        <v>2.4758075866686567E-2</v>
      </c>
      <c r="W40" s="12">
        <f>W36*$AD$40+W27*(1-$AD$40)</f>
        <v>4.1534747017294801E-2</v>
      </c>
      <c r="X40" s="12">
        <f>X36*$AD$40+X27*(1-$AD$40)</f>
        <v>1.9751145933661288E-2</v>
      </c>
      <c r="AA40" s="12">
        <f>AA36*$AD$40+AA27*(1-$AD$40)</f>
        <v>5.2843132781819971E-3</v>
      </c>
      <c r="AB40" s="12">
        <f>AB36*$AD$40+AB27*(1-$AD$40)</f>
        <v>9.4174642915285101E-3</v>
      </c>
      <c r="AC40" s="12">
        <f>AC36*$AD$40+AC27*(1-$AD$40)</f>
        <v>1.6662165591665529E-2</v>
      </c>
      <c r="AD40">
        <v>0.752</v>
      </c>
      <c r="AF40" s="13">
        <f>AF36*$AD$40+AF27*(1-$AD$40)</f>
        <v>5.3871831295085873E-3</v>
      </c>
      <c r="AG40" s="13">
        <f>AG36*$AD$40+AG27*(1-$AD$40)</f>
        <v>2.5200800000000058E-2</v>
      </c>
      <c r="AI40" s="12">
        <f t="shared" ref="AI40:AJ40" si="5">AI36*$AD$40+AI27*(1-$AD$40)</f>
        <v>3.5224010423533542E-2</v>
      </c>
      <c r="AJ40" s="12">
        <f t="shared" si="5"/>
        <v>2.2407529602638719E-2</v>
      </c>
    </row>
    <row r="41" spans="1:36" x14ac:dyDescent="0.3">
      <c r="H41" s="10"/>
      <c r="I41" s="10"/>
    </row>
    <row r="42" spans="1:36" x14ac:dyDescent="0.3">
      <c r="H42">
        <f>H32</f>
        <v>6.717534127269631E-2</v>
      </c>
      <c r="I42">
        <f>I32</f>
        <v>4.4974718353588239E-2</v>
      </c>
      <c r="M42">
        <f t="shared" ref="M42:N42" si="6">M32</f>
        <v>3.5741587232249961E-2</v>
      </c>
      <c r="N42">
        <f t="shared" si="6"/>
        <v>2.1162825726766199E-2</v>
      </c>
      <c r="R42">
        <f t="shared" ref="R42:S42" si="7">R32</f>
        <v>2.5582845693510103E-2</v>
      </c>
      <c r="S42">
        <f t="shared" si="7"/>
        <v>2.4957627666869486E-2</v>
      </c>
      <c r="W42">
        <f t="shared" ref="W42:X42" si="8">W32</f>
        <v>4.1010073447484086E-2</v>
      </c>
      <c r="X42">
        <f t="shared" si="8"/>
        <v>2.3940323937047259E-2</v>
      </c>
      <c r="AA42">
        <f t="shared" ref="AA42:AB42" si="9">AA32</f>
        <v>2.1613908445163865E-3</v>
      </c>
      <c r="AB42">
        <f t="shared" si="9"/>
        <v>6.8680311992881382E-3</v>
      </c>
      <c r="AF42">
        <f t="shared" ref="AF42:AG42" si="10">AF32</f>
        <v>6.6134503689236901E-3</v>
      </c>
      <c r="AG42">
        <f t="shared" si="10"/>
        <v>2.7700000000000058E-2</v>
      </c>
    </row>
    <row r="43" spans="1:36" x14ac:dyDescent="0.3">
      <c r="G43" s="11"/>
      <c r="H43" s="11"/>
      <c r="I43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6.5" x14ac:dyDescent="0.3"/>
  <sheetData>
    <row r="1" spans="1:2" x14ac:dyDescent="0.3">
      <c r="A1" s="8" t="s">
        <v>56</v>
      </c>
      <c r="B1" s="8" t="s">
        <v>57</v>
      </c>
    </row>
    <row r="2" spans="1:2" x14ac:dyDescent="0.3">
      <c r="A2" s="8" t="s">
        <v>58</v>
      </c>
      <c r="B2" s="8" t="s">
        <v>59</v>
      </c>
    </row>
    <row r="3" spans="1:2" x14ac:dyDescent="0.3">
      <c r="A3" s="8" t="s">
        <v>60</v>
      </c>
      <c r="B3" s="8" t="s">
        <v>61</v>
      </c>
    </row>
    <row r="4" spans="1:2" x14ac:dyDescent="0.3">
      <c r="A4" s="8" t="s">
        <v>62</v>
      </c>
      <c r="B4" s="8" t="s">
        <v>63</v>
      </c>
    </row>
    <row r="5" spans="1:2" x14ac:dyDescent="0.3">
      <c r="A5" s="8" t="s">
        <v>64</v>
      </c>
      <c r="B5" s="8" t="s">
        <v>65</v>
      </c>
    </row>
    <row r="6" spans="1:2" x14ac:dyDescent="0.3">
      <c r="A6" s="8" t="s">
        <v>66</v>
      </c>
      <c r="B6" s="8" t="s">
        <v>67</v>
      </c>
    </row>
    <row r="7" spans="1:2" x14ac:dyDescent="0.3">
      <c r="A7" s="8" t="s">
        <v>37</v>
      </c>
      <c r="B7" s="8" t="s">
        <v>68</v>
      </c>
    </row>
    <row r="8" spans="1:2" x14ac:dyDescent="0.3">
      <c r="A8" s="8" t="s">
        <v>69</v>
      </c>
      <c r="B8" s="8" t="s">
        <v>70</v>
      </c>
    </row>
    <row r="9" spans="1:2" x14ac:dyDescent="0.3">
      <c r="A9" s="8" t="s">
        <v>71</v>
      </c>
    </row>
    <row r="10" spans="1:2" x14ac:dyDescent="0.3">
      <c r="A10" s="8" t="s">
        <v>72</v>
      </c>
      <c r="B10" s="8" t="s">
        <v>73</v>
      </c>
    </row>
    <row r="11" spans="1:2" x14ac:dyDescent="0.3">
      <c r="A11" s="8" t="s">
        <v>37</v>
      </c>
      <c r="B11" s="8" t="s">
        <v>74</v>
      </c>
    </row>
    <row r="12" spans="1:2" x14ac:dyDescent="0.3">
      <c r="A12" s="8" t="s">
        <v>37</v>
      </c>
      <c r="B12" s="8" t="s">
        <v>75</v>
      </c>
    </row>
    <row r="13" spans="1:2" x14ac:dyDescent="0.3">
      <c r="A13" s="8" t="s">
        <v>37</v>
      </c>
      <c r="B13" s="8" t="s">
        <v>76</v>
      </c>
    </row>
    <row r="14" spans="1:2" x14ac:dyDescent="0.3">
      <c r="A14" s="8" t="s">
        <v>37</v>
      </c>
      <c r="B14" s="8" t="s">
        <v>37</v>
      </c>
    </row>
    <row r="15" spans="1:2" x14ac:dyDescent="0.3">
      <c r="A15" s="8" t="s">
        <v>37</v>
      </c>
      <c r="B15" s="8" t="s">
        <v>37</v>
      </c>
    </row>
    <row r="16" spans="1:2" x14ac:dyDescent="0.3">
      <c r="A16" s="8" t="s">
        <v>37</v>
      </c>
      <c r="B16" s="8" t="s">
        <v>77</v>
      </c>
    </row>
    <row r="17" spans="1:2" x14ac:dyDescent="0.3">
      <c r="A17" s="8" t="s">
        <v>37</v>
      </c>
      <c r="B17" s="8" t="s">
        <v>78</v>
      </c>
    </row>
    <row r="18" spans="1:2" x14ac:dyDescent="0.3">
      <c r="A18" s="8" t="s">
        <v>37</v>
      </c>
      <c r="B18" s="8" t="s">
        <v>37</v>
      </c>
    </row>
    <row r="19" spans="1:2" x14ac:dyDescent="0.3">
      <c r="A19" s="8" t="s">
        <v>37</v>
      </c>
      <c r="B19" s="8" t="s">
        <v>79</v>
      </c>
    </row>
    <row r="20" spans="1:2" x14ac:dyDescent="0.3">
      <c r="A20" s="8" t="s">
        <v>37</v>
      </c>
      <c r="B20" s="8" t="s">
        <v>80</v>
      </c>
    </row>
    <row r="21" spans="1:2" x14ac:dyDescent="0.3">
      <c r="A21" s="8" t="s">
        <v>37</v>
      </c>
      <c r="B21" s="8" t="s">
        <v>81</v>
      </c>
    </row>
    <row r="22" spans="1:2" x14ac:dyDescent="0.3">
      <c r="A22" s="8" t="s">
        <v>37</v>
      </c>
      <c r="B22" s="8" t="s">
        <v>82</v>
      </c>
    </row>
    <row r="23" spans="1:2" x14ac:dyDescent="0.3">
      <c r="A23" s="8" t="s">
        <v>37</v>
      </c>
      <c r="B23" s="8" t="s">
        <v>83</v>
      </c>
    </row>
    <row r="24" spans="1:2" x14ac:dyDescent="0.3">
      <c r="A24" s="8" t="s">
        <v>37</v>
      </c>
      <c r="B24" s="8" t="s">
        <v>37</v>
      </c>
    </row>
    <row r="25" spans="1:2" x14ac:dyDescent="0.3">
      <c r="A25" s="8" t="s">
        <v>37</v>
      </c>
      <c r="B25" s="8" t="s">
        <v>84</v>
      </c>
    </row>
    <row r="26" spans="1:2" x14ac:dyDescent="0.3">
      <c r="A26" s="8" t="s">
        <v>37</v>
      </c>
      <c r="B26" s="8" t="s">
        <v>85</v>
      </c>
    </row>
    <row r="27" spans="1:2" x14ac:dyDescent="0.3">
      <c r="A27" s="8" t="s">
        <v>37</v>
      </c>
      <c r="B27" s="8" t="s">
        <v>37</v>
      </c>
    </row>
    <row r="28" spans="1:2" x14ac:dyDescent="0.3">
      <c r="A28" s="8" t="s">
        <v>37</v>
      </c>
      <c r="B28" s="8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 진실</cp:lastModifiedBy>
  <dcterms:created xsi:type="dcterms:W3CDTF">2025-10-29T03:26:12Z</dcterms:created>
  <dcterms:modified xsi:type="dcterms:W3CDTF">2025-12-02T06:54:42Z</dcterms:modified>
</cp:coreProperties>
</file>