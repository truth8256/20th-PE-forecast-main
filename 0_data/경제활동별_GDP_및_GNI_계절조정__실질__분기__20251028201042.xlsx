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odsti-my.sharepoint.com/personal/truth8256_goodsti_com/Documents/=대학원/=논문연구/20th-PE-forecast-main/0_data/"/>
    </mc:Choice>
  </mc:AlternateContent>
  <xr:revisionPtr revIDLastSave="113" documentId="11_FAC81C496AA31D6420BB03C3FFF06A4F6F726F14" xr6:coauthVersionLast="47" xr6:coauthVersionMax="47" xr10:uidLastSave="{A9FBB548-7AE9-4A74-A9A4-899B2A0060EA}"/>
  <bookViews>
    <workbookView xWindow="28680" yWindow="-120" windowWidth="29040" windowHeight="15720" xr2:uid="{00000000-000D-0000-FFFF-FFFF00000000}"/>
  </bookViews>
  <sheets>
    <sheet name="데이터" sheetId="1" r:id="rId1"/>
    <sheet name="메타정보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K13" i="1" l="1"/>
  <c r="CK10" i="1"/>
  <c r="D18" i="1"/>
  <c r="D20" i="1"/>
  <c r="D21" i="1"/>
  <c r="D19" i="1"/>
  <c r="I15" i="1"/>
  <c r="I14" i="1"/>
  <c r="H15" i="1"/>
  <c r="H14" i="1"/>
  <c r="G15" i="1"/>
  <c r="G14" i="1"/>
  <c r="F15" i="1"/>
  <c r="F14" i="1"/>
  <c r="E15" i="1"/>
  <c r="E14" i="1"/>
  <c r="D15" i="1"/>
  <c r="D14" i="1"/>
  <c r="C15" i="1"/>
  <c r="C14" i="1"/>
  <c r="B14" i="1"/>
  <c r="B15" i="1"/>
  <c r="I13" i="1"/>
  <c r="H13" i="1"/>
  <c r="G13" i="1"/>
  <c r="F13" i="1"/>
  <c r="E13" i="1"/>
  <c r="D13" i="1"/>
  <c r="C13" i="1"/>
  <c r="I10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J10" i="1"/>
  <c r="K10" i="1"/>
  <c r="L10" i="1"/>
  <c r="M10" i="1"/>
  <c r="N10" i="1"/>
  <c r="O10" i="1"/>
  <c r="P10" i="1"/>
  <c r="Q10" i="1"/>
  <c r="R10" i="1"/>
  <c r="S10" i="1"/>
  <c r="T10" i="1"/>
  <c r="U10" i="1"/>
  <c r="J11" i="1"/>
  <c r="K11" i="1"/>
  <c r="L11" i="1"/>
  <c r="M11" i="1"/>
  <c r="N11" i="1"/>
  <c r="O11" i="1"/>
  <c r="P11" i="1"/>
  <c r="Q11" i="1"/>
  <c r="R11" i="1"/>
  <c r="S11" i="1"/>
  <c r="T11" i="1"/>
  <c r="U11" i="1"/>
  <c r="I11" i="1"/>
</calcChain>
</file>

<file path=xl/sharedStrings.xml><?xml version="1.0" encoding="utf-8"?>
<sst xmlns="http://schemas.openxmlformats.org/spreadsheetml/2006/main" count="147" uniqueCount="142">
  <si>
    <t>계정항목별</t>
  </si>
  <si>
    <t>1999.1/4</t>
  </si>
  <si>
    <t>1999.2/4</t>
  </si>
  <si>
    <t>1999.3/4</t>
  </si>
  <si>
    <t>1999.4/4</t>
  </si>
  <si>
    <t>2000.1/4</t>
  </si>
  <si>
    <t>2000.2/4</t>
  </si>
  <si>
    <t>2000.3/4</t>
  </si>
  <si>
    <t>2000.4/4</t>
  </si>
  <si>
    <t>2001.1/4</t>
  </si>
  <si>
    <t>2001.2/4</t>
  </si>
  <si>
    <t>2001.3/4</t>
  </si>
  <si>
    <t>2001.4/4</t>
  </si>
  <si>
    <t>2002.1/4</t>
  </si>
  <si>
    <t>2002.2/4</t>
  </si>
  <si>
    <t>2002.3/4</t>
  </si>
  <si>
    <t>2002.4/4</t>
  </si>
  <si>
    <t>2003.1/4</t>
  </si>
  <si>
    <t>2003.2/4</t>
  </si>
  <si>
    <t>2003.3/4</t>
  </si>
  <si>
    <t>2003.4/4</t>
  </si>
  <si>
    <t>2004.1/4</t>
  </si>
  <si>
    <t>2004.2/4</t>
  </si>
  <si>
    <t>2004.3/4</t>
  </si>
  <si>
    <t>2004.4/4</t>
  </si>
  <si>
    <t>2005.1/4</t>
  </si>
  <si>
    <t>2005.2/4</t>
  </si>
  <si>
    <t>2005.3/4</t>
  </si>
  <si>
    <t>2005.4/4</t>
  </si>
  <si>
    <t>2006.1/4</t>
  </si>
  <si>
    <t>2006.2/4</t>
  </si>
  <si>
    <t>2006.3/4</t>
  </si>
  <si>
    <t>2006.4/4</t>
  </si>
  <si>
    <t>2007.1/4</t>
  </si>
  <si>
    <t>2007.2/4</t>
  </si>
  <si>
    <t>2007.3/4</t>
  </si>
  <si>
    <t>2007.4/4</t>
  </si>
  <si>
    <t>2008.1/4</t>
  </si>
  <si>
    <t>2008.2/4</t>
  </si>
  <si>
    <t>2008.3/4</t>
  </si>
  <si>
    <t>2008.4/4</t>
  </si>
  <si>
    <t>2009.1/4</t>
  </si>
  <si>
    <t>2009.2/4</t>
  </si>
  <si>
    <t>2009.3/4</t>
  </si>
  <si>
    <t>2009.4/4</t>
  </si>
  <si>
    <t>2010.1/4</t>
  </si>
  <si>
    <t>2010.2/4</t>
  </si>
  <si>
    <t>2010.3/4</t>
  </si>
  <si>
    <t>2010.4/4</t>
  </si>
  <si>
    <t>2011.1/4</t>
  </si>
  <si>
    <t>2011.2/4</t>
  </si>
  <si>
    <t>2011.3/4</t>
  </si>
  <si>
    <t>2011.4/4</t>
  </si>
  <si>
    <t>2012.1/4</t>
  </si>
  <si>
    <t>2012.2/4</t>
  </si>
  <si>
    <t>2012.3/4</t>
  </si>
  <si>
    <t>2012.4/4</t>
  </si>
  <si>
    <t>2013.1/4</t>
  </si>
  <si>
    <t>2013.2/4</t>
  </si>
  <si>
    <t>2013.3/4</t>
  </si>
  <si>
    <t>2013.4/4</t>
  </si>
  <si>
    <t>2014.1/4</t>
  </si>
  <si>
    <t>2014.2/4</t>
  </si>
  <si>
    <t>2014.3/4</t>
  </si>
  <si>
    <t>2014.4/4</t>
  </si>
  <si>
    <t>2015.1/4</t>
  </si>
  <si>
    <t>2015.2/4</t>
  </si>
  <si>
    <t>2015.3/4</t>
  </si>
  <si>
    <t>2015.4/4</t>
  </si>
  <si>
    <t>2016.1/4</t>
  </si>
  <si>
    <t>2016.2/4</t>
  </si>
  <si>
    <t>2016.3/4</t>
  </si>
  <si>
    <t>2016.4/4</t>
  </si>
  <si>
    <t>2017.1/4</t>
  </si>
  <si>
    <t>2017.2/4</t>
  </si>
  <si>
    <t>2017.3/4</t>
  </si>
  <si>
    <t>2017.4/4</t>
  </si>
  <si>
    <t>2018.1/4</t>
  </si>
  <si>
    <t>2018.2/4</t>
  </si>
  <si>
    <t>2018.3/4</t>
  </si>
  <si>
    <t>2018.4/4</t>
  </si>
  <si>
    <t>2019.1/4</t>
  </si>
  <si>
    <t>2019.2/4</t>
  </si>
  <si>
    <t>2019.3/4</t>
  </si>
  <si>
    <t>2019.4/4</t>
  </si>
  <si>
    <t>2020.1/4</t>
  </si>
  <si>
    <t>2020.2/4</t>
  </si>
  <si>
    <t>2020.3/4</t>
  </si>
  <si>
    <t>2020.4/4</t>
  </si>
  <si>
    <t>2021.1/4</t>
  </si>
  <si>
    <t>2021.2/4</t>
  </si>
  <si>
    <t>2021.3/4</t>
  </si>
  <si>
    <t>2021.4/4</t>
  </si>
  <si>
    <t>2022.1/4</t>
  </si>
  <si>
    <t>2022.2/4</t>
  </si>
  <si>
    <t>2022.3/4</t>
  </si>
  <si>
    <t>2022.4/4</t>
  </si>
  <si>
    <t>2023.1/4</t>
  </si>
  <si>
    <t>2023.2/4</t>
  </si>
  <si>
    <t>2023.3/4</t>
  </si>
  <si>
    <t>2023.4/4</t>
  </si>
  <si>
    <t>2024.1/4</t>
  </si>
  <si>
    <t>2024.2/4</t>
  </si>
  <si>
    <t>2024.3/4</t>
  </si>
  <si>
    <t>2024.4/4</t>
  </si>
  <si>
    <t>2025.1/4</t>
  </si>
  <si>
    <t>2025.2/4</t>
  </si>
  <si>
    <t>총부가가치(기초가격)</t>
  </si>
  <si>
    <t>순생산물세</t>
  </si>
  <si>
    <t>국내총생산(시장가격, GDP)</t>
  </si>
  <si>
    <t>교역조건 변화를 반영한 실질무역손익</t>
  </si>
  <si>
    <t>국내총소득(GDI)</t>
  </si>
  <si>
    <t>국외순수취요소소득</t>
  </si>
  <si>
    <t>국민총소득(GNI)</t>
  </si>
  <si>
    <t>○ 통계표ID</t>
  </si>
  <si>
    <t>DT_200Y104</t>
  </si>
  <si>
    <t>○ 통계표명</t>
  </si>
  <si>
    <t>경제활동별 GDP 및 GNI(계절조정, 실질, 분기)</t>
  </si>
  <si>
    <t>○ 조회기간</t>
  </si>
  <si>
    <t xml:space="preserve">[분기] 199901~202502  </t>
  </si>
  <si>
    <t>○ 출처</t>
  </si>
  <si>
    <t>「국민계정」, 한국은행</t>
  </si>
  <si>
    <t>○ 자료다운일자</t>
  </si>
  <si>
    <t>2025.10.28 20:10</t>
  </si>
  <si>
    <t>○ 통계표URL</t>
  </si>
  <si>
    <t>https://kosis.kr/statHtml/statHtml.do?orgId=301&amp;tblId=DT_200Y104&amp;conn_path=I3</t>
  </si>
  <si>
    <t/>
  </si>
  <si>
    <t>* KOSIS 개편 시 통계표 URL은 달라질 수 있음</t>
  </si>
  <si>
    <t>○ 단위</t>
  </si>
  <si>
    <t>십억원</t>
  </si>
  <si>
    <t>○ 주석</t>
  </si>
  <si>
    <t>통계표</t>
  </si>
  <si>
    <t>(1) 분기속보 : 해당 분기 종료 후 28일 이내, 분기잠정 : 해당 분기 종료 후 70일 이내</t>
  </si>
  <si>
    <t xml:space="preserve">
(2) 연간 잠정치 : 해당 연도 종료 후 3개월 내에 국민소득(잠정), 6개월 내에 국민계정(잠정)이 공표, 연간확정 : 해당 연도 종료 후 18개월 이내. 연간잠정 시에는 일부 기초자료를 이용하지 못함에 따라 추후 공표될 연간확정과 차이가 있을 수 있으며 시계열 분석 시 유의바람</t>
  </si>
  <si>
    <t xml:space="preserve">
(3) 연쇄가중법에 의해 추계된 실질 GDP통계는 비가법적 특성에 의해 총량(또는 상위부문) 금액과 그 구성항목 금액의 합이 일치하지 않음</t>
  </si>
  <si>
    <t xml:space="preserve">
(4) 개별 구성항목의 연쇄금액은 구성항목 내에서의 상대적 중요도를 정확하게 반영하지 못할 수 있으므로 상대비교 시에는 주의를 요함. 각 구성항목의 기여도는 2.1.5. GDP에 대한 성장기여도를 참조</t>
  </si>
  <si>
    <t xml:space="preserve">
(5) 순생산물세 : 생산물세에서 생산물보조금을 차감하여 계산</t>
  </si>
  <si>
    <t xml:space="preserve">
(6) 산업별 금액은 총부가가치(기초가격) 기준</t>
  </si>
  <si>
    <t>GDP_4</t>
    <phoneticPr fontId="1" type="noConversion"/>
  </si>
  <si>
    <t>GDP_5</t>
  </si>
  <si>
    <t>GNI_4</t>
    <phoneticPr fontId="1" type="noConversion"/>
  </si>
  <si>
    <t>GNI_5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</si>
</sst>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"/>
    <numFmt numFmtId="184" formatCode="#,##0.0_ "/>
    <numFmt numFmtId="189" formatCode="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/>
    <xf numFmtId="176" fontId="0" fillId="0" borderId="1" xfId="0" applyNumberFormat="1" applyBorder="1" applyAlignment="1">
      <alignment horizontal="right"/>
    </xf>
    <xf numFmtId="0" fontId="0" fillId="4" borderId="2" xfId="0" applyFill="1" applyBorder="1"/>
    <xf numFmtId="0" fontId="0" fillId="4" borderId="1" xfId="0" applyFill="1" applyBorder="1"/>
    <xf numFmtId="0" fontId="0" fillId="0" borderId="0" xfId="0" applyAlignment="1">
      <alignment horizontal="left"/>
    </xf>
    <xf numFmtId="184" fontId="0" fillId="0" borderId="0" xfId="0" applyNumberFormat="1">
      <alignment vertical="center"/>
    </xf>
    <xf numFmtId="189" fontId="0" fillId="0" borderId="0" xfId="0" applyNumberFormat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21"/>
  <sheetViews>
    <sheetView tabSelected="1" workbookViewId="0">
      <pane xSplit="1" ySplit="1" topLeftCell="BU2" activePane="bottomRight" state="frozen"/>
      <selection pane="topRight" activeCell="B1" sqref="B1"/>
      <selection pane="bottomLeft" activeCell="A2" sqref="A2"/>
      <selection pane="bottomRight" activeCell="CK13" sqref="CK13"/>
    </sheetView>
  </sheetViews>
  <sheetFormatPr defaultColWidth="21" defaultRowHeight="16.5" x14ac:dyDescent="0.3"/>
  <cols>
    <col min="1" max="1" width="25.25" customWidth="1"/>
    <col min="2" max="107" width="10.25" customWidth="1"/>
  </cols>
  <sheetData>
    <row r="1" spans="1:107" ht="20.100000000000001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</row>
    <row r="2" spans="1:107" ht="20.100000000000001" customHeight="1" x14ac:dyDescent="0.3">
      <c r="A2" s="4" t="s">
        <v>107</v>
      </c>
      <c r="B2" s="3">
        <v>196466.4</v>
      </c>
      <c r="C2" s="3">
        <v>205687.1</v>
      </c>
      <c r="D2" s="3">
        <v>211409.9</v>
      </c>
      <c r="E2" s="3">
        <v>216710.8</v>
      </c>
      <c r="F2" s="3">
        <v>220819.8</v>
      </c>
      <c r="G2" s="3">
        <v>224778.3</v>
      </c>
      <c r="H2" s="3">
        <v>229919.7</v>
      </c>
      <c r="I2" s="3">
        <v>230193.7</v>
      </c>
      <c r="J2" s="3">
        <v>232332.2</v>
      </c>
      <c r="K2" s="3">
        <v>235084.6</v>
      </c>
      <c r="L2" s="3">
        <v>238192</v>
      </c>
      <c r="M2" s="3">
        <v>242174.3</v>
      </c>
      <c r="N2" s="3">
        <v>249166.7</v>
      </c>
      <c r="O2" s="3">
        <v>254230.8</v>
      </c>
      <c r="P2" s="3">
        <v>258853</v>
      </c>
      <c r="Q2" s="3">
        <v>261316.9</v>
      </c>
      <c r="R2" s="3">
        <v>260076.9</v>
      </c>
      <c r="S2" s="3">
        <v>260311.8</v>
      </c>
      <c r="T2" s="3">
        <v>264556.7</v>
      </c>
      <c r="U2" s="3">
        <v>271368.2</v>
      </c>
      <c r="V2" s="3">
        <v>275018.8</v>
      </c>
      <c r="W2" s="3">
        <v>277560.5</v>
      </c>
      <c r="X2" s="3">
        <v>278558.90000000002</v>
      </c>
      <c r="Y2" s="3">
        <v>280743.90000000002</v>
      </c>
      <c r="Z2" s="3">
        <v>283321.09999999998</v>
      </c>
      <c r="AA2" s="3">
        <v>288322.40000000002</v>
      </c>
      <c r="AB2" s="3">
        <v>292623.8</v>
      </c>
      <c r="AC2" s="3">
        <v>296109.59999999998</v>
      </c>
      <c r="AD2" s="3">
        <v>300558</v>
      </c>
      <c r="AE2" s="3">
        <v>303306.59999999998</v>
      </c>
      <c r="AF2" s="3">
        <v>307712.09999999998</v>
      </c>
      <c r="AG2" s="3">
        <v>310482.7</v>
      </c>
      <c r="AH2" s="3">
        <v>316900.3</v>
      </c>
      <c r="AI2" s="3">
        <v>321884.7</v>
      </c>
      <c r="AJ2" s="3">
        <v>326419.90000000002</v>
      </c>
      <c r="AK2" s="3">
        <v>332452.5</v>
      </c>
      <c r="AL2" s="3">
        <v>336235.7</v>
      </c>
      <c r="AM2" s="3">
        <v>337461.1</v>
      </c>
      <c r="AN2" s="3">
        <v>339675.3</v>
      </c>
      <c r="AO2" s="3">
        <v>327782.8</v>
      </c>
      <c r="AP2" s="3">
        <v>327555.20000000001</v>
      </c>
      <c r="AQ2" s="3">
        <v>333357.8</v>
      </c>
      <c r="AR2" s="3">
        <v>344611.9</v>
      </c>
      <c r="AS2" s="3">
        <v>347327.6</v>
      </c>
      <c r="AT2" s="3">
        <v>354510.9</v>
      </c>
      <c r="AU2" s="3">
        <v>359878.40000000002</v>
      </c>
      <c r="AV2" s="3">
        <v>363382.8</v>
      </c>
      <c r="AW2" s="3">
        <v>368898.7</v>
      </c>
      <c r="AX2" s="3">
        <v>372540.4</v>
      </c>
      <c r="AY2" s="3">
        <v>373609.5</v>
      </c>
      <c r="AZ2" s="3">
        <v>375429.5</v>
      </c>
      <c r="BA2" s="3">
        <v>377789.1</v>
      </c>
      <c r="BB2" s="3">
        <v>381560.8</v>
      </c>
      <c r="BC2" s="3">
        <v>383513.59999999998</v>
      </c>
      <c r="BD2" s="3">
        <v>385185.3</v>
      </c>
      <c r="BE2" s="3">
        <v>388057.7</v>
      </c>
      <c r="BF2" s="3">
        <v>391593.3</v>
      </c>
      <c r="BG2" s="3">
        <v>396587.5</v>
      </c>
      <c r="BH2" s="3">
        <v>400281.7</v>
      </c>
      <c r="BI2" s="3">
        <v>403526.2</v>
      </c>
      <c r="BJ2" s="3">
        <v>406555.6</v>
      </c>
      <c r="BK2" s="3">
        <v>410493.1</v>
      </c>
      <c r="BL2" s="3">
        <v>411018.8</v>
      </c>
      <c r="BM2" s="3">
        <v>413521.9</v>
      </c>
      <c r="BN2" s="3">
        <v>417056.9</v>
      </c>
      <c r="BO2" s="3">
        <v>418638.9</v>
      </c>
      <c r="BP2" s="3">
        <v>424793</v>
      </c>
      <c r="BQ2" s="3">
        <v>427900.4</v>
      </c>
      <c r="BR2" s="3">
        <v>429313.5</v>
      </c>
      <c r="BS2" s="3">
        <v>434771</v>
      </c>
      <c r="BT2" s="3">
        <v>436302.6</v>
      </c>
      <c r="BU2" s="3">
        <v>439808.4</v>
      </c>
      <c r="BV2" s="3">
        <v>445234.8</v>
      </c>
      <c r="BW2" s="3">
        <v>448266.4</v>
      </c>
      <c r="BX2" s="3">
        <v>454651.4</v>
      </c>
      <c r="BY2" s="3">
        <v>452978.3</v>
      </c>
      <c r="BZ2" s="3">
        <v>460416.8</v>
      </c>
      <c r="CA2" s="3">
        <v>464287</v>
      </c>
      <c r="CB2" s="3">
        <v>467089.7</v>
      </c>
      <c r="CC2" s="3">
        <v>469627.5</v>
      </c>
      <c r="CD2" s="3">
        <v>469870.3</v>
      </c>
      <c r="CE2" s="3">
        <v>476543.6</v>
      </c>
      <c r="CF2" s="3">
        <v>477699</v>
      </c>
      <c r="CG2" s="3">
        <v>483044.7</v>
      </c>
      <c r="CH2" s="3">
        <v>476161.2</v>
      </c>
      <c r="CI2" s="3">
        <v>461797.1</v>
      </c>
      <c r="CJ2" s="3">
        <v>472362.5</v>
      </c>
      <c r="CK2" s="3">
        <v>480455.4</v>
      </c>
      <c r="CL2" s="3">
        <v>487716.9</v>
      </c>
      <c r="CM2" s="3">
        <v>492991.7</v>
      </c>
      <c r="CN2" s="3">
        <v>494546.5</v>
      </c>
      <c r="CO2" s="3">
        <v>501937.4</v>
      </c>
      <c r="CP2" s="3">
        <v>504968.7</v>
      </c>
      <c r="CQ2" s="3">
        <v>510173.2</v>
      </c>
      <c r="CR2" s="3">
        <v>512988.7</v>
      </c>
      <c r="CS2" s="3">
        <v>512010.6</v>
      </c>
      <c r="CT2" s="3">
        <v>514292.2</v>
      </c>
      <c r="CU2" s="3">
        <v>518455.9</v>
      </c>
      <c r="CV2" s="3">
        <v>523362.5</v>
      </c>
      <c r="CW2" s="3">
        <v>525449.9</v>
      </c>
      <c r="CX2" s="3">
        <v>530711.80000000005</v>
      </c>
      <c r="CY2" s="3">
        <v>530834</v>
      </c>
      <c r="CZ2" s="3">
        <v>531819.1</v>
      </c>
      <c r="DA2" s="3">
        <v>531090.19999999995</v>
      </c>
      <c r="DB2" s="3">
        <v>530360</v>
      </c>
      <c r="DC2" s="3">
        <v>535172.80000000005</v>
      </c>
    </row>
    <row r="3" spans="1:107" ht="20.100000000000001" customHeight="1" x14ac:dyDescent="0.3">
      <c r="A3" s="4" t="s">
        <v>108</v>
      </c>
      <c r="B3" s="3">
        <v>20168.2</v>
      </c>
      <c r="C3" s="3">
        <v>20271.8</v>
      </c>
      <c r="D3" s="3">
        <v>21059.1</v>
      </c>
      <c r="E3" s="3">
        <v>22020</v>
      </c>
      <c r="F3" s="3">
        <v>22654.799999999999</v>
      </c>
      <c r="G3" s="3">
        <v>22446</v>
      </c>
      <c r="H3" s="3">
        <v>24096.1</v>
      </c>
      <c r="I3" s="3">
        <v>22975.200000000001</v>
      </c>
      <c r="J3" s="3">
        <v>23389.7</v>
      </c>
      <c r="K3" s="3">
        <v>24477.200000000001</v>
      </c>
      <c r="L3" s="3">
        <v>24678.2</v>
      </c>
      <c r="M3" s="3">
        <v>24699.200000000001</v>
      </c>
      <c r="N3" s="3">
        <v>25158.1</v>
      </c>
      <c r="O3" s="3">
        <v>25333</v>
      </c>
      <c r="P3" s="3">
        <v>25897.9</v>
      </c>
      <c r="Q3" s="3">
        <v>26124.2</v>
      </c>
      <c r="R3" s="3">
        <v>25838.1</v>
      </c>
      <c r="S3" s="3">
        <v>25798.5</v>
      </c>
      <c r="T3" s="3">
        <v>26136.9</v>
      </c>
      <c r="U3" s="3">
        <v>26744.3</v>
      </c>
      <c r="V3" s="3">
        <v>27317</v>
      </c>
      <c r="W3" s="3">
        <v>27316.1</v>
      </c>
      <c r="X3" s="3">
        <v>27120.3</v>
      </c>
      <c r="Y3" s="3">
        <v>27433</v>
      </c>
      <c r="Z3" s="3">
        <v>27729.4</v>
      </c>
      <c r="AA3" s="3">
        <v>28562.9</v>
      </c>
      <c r="AB3" s="3">
        <v>28708</v>
      </c>
      <c r="AC3" s="3">
        <v>28908</v>
      </c>
      <c r="AD3" s="3">
        <v>29626.799999999999</v>
      </c>
      <c r="AE3" s="3">
        <v>29265.4</v>
      </c>
      <c r="AF3" s="3">
        <v>30069.7</v>
      </c>
      <c r="AG3" s="3">
        <v>30105.9</v>
      </c>
      <c r="AH3" s="3">
        <v>29731.7</v>
      </c>
      <c r="AI3" s="3">
        <v>30612.799999999999</v>
      </c>
      <c r="AJ3" s="3">
        <v>30256.3</v>
      </c>
      <c r="AK3" s="3">
        <v>31244.400000000001</v>
      </c>
      <c r="AL3" s="3">
        <v>30240.3</v>
      </c>
      <c r="AM3" s="3">
        <v>30349</v>
      </c>
      <c r="AN3" s="3">
        <v>30575.1</v>
      </c>
      <c r="AO3" s="3">
        <v>29963.4</v>
      </c>
      <c r="AP3" s="3">
        <v>31054.7</v>
      </c>
      <c r="AQ3" s="3">
        <v>30186.2</v>
      </c>
      <c r="AR3" s="3">
        <v>30090.6</v>
      </c>
      <c r="AS3" s="3">
        <v>30131.5</v>
      </c>
      <c r="AT3" s="3">
        <v>31729.3</v>
      </c>
      <c r="AU3" s="3">
        <v>32590.1</v>
      </c>
      <c r="AV3" s="3">
        <v>33071.1</v>
      </c>
      <c r="AW3" s="3">
        <v>33164.400000000001</v>
      </c>
      <c r="AX3" s="3">
        <v>33369.1</v>
      </c>
      <c r="AY3" s="3">
        <v>34035.1</v>
      </c>
      <c r="AZ3" s="3">
        <v>34105.1</v>
      </c>
      <c r="BA3" s="3">
        <v>34484.199999999997</v>
      </c>
      <c r="BB3" s="3">
        <v>34664.400000000001</v>
      </c>
      <c r="BC3" s="3">
        <v>34469.4</v>
      </c>
      <c r="BD3" s="3">
        <v>34661.300000000003</v>
      </c>
      <c r="BE3" s="3">
        <v>34914.6</v>
      </c>
      <c r="BF3" s="3">
        <v>34731.199999999997</v>
      </c>
      <c r="BG3" s="3">
        <v>34552</v>
      </c>
      <c r="BH3" s="3">
        <v>35183.5</v>
      </c>
      <c r="BI3" s="3">
        <v>35755.599999999999</v>
      </c>
      <c r="BJ3" s="3">
        <v>36102.800000000003</v>
      </c>
      <c r="BK3" s="3">
        <v>36365.4</v>
      </c>
      <c r="BL3" s="3">
        <v>37007.1</v>
      </c>
      <c r="BM3" s="3">
        <v>36880</v>
      </c>
      <c r="BN3" s="3">
        <v>37240.800000000003</v>
      </c>
      <c r="BO3" s="3">
        <v>37623</v>
      </c>
      <c r="BP3" s="3">
        <v>38240.699999999997</v>
      </c>
      <c r="BQ3" s="3">
        <v>38720.6</v>
      </c>
      <c r="BR3" s="3">
        <v>39116.5</v>
      </c>
      <c r="BS3" s="3">
        <v>39526.6</v>
      </c>
      <c r="BT3" s="3">
        <v>39836.9</v>
      </c>
      <c r="BU3" s="3">
        <v>39992</v>
      </c>
      <c r="BV3" s="3">
        <v>39962.9</v>
      </c>
      <c r="BW3" s="3">
        <v>40504.800000000003</v>
      </c>
      <c r="BX3" s="3">
        <v>40831.699999999997</v>
      </c>
      <c r="BY3" s="3">
        <v>41375.599999999999</v>
      </c>
      <c r="BZ3" s="3">
        <v>41178.6</v>
      </c>
      <c r="CA3" s="3">
        <v>41211.800000000003</v>
      </c>
      <c r="CB3" s="3">
        <v>40990.699999999997</v>
      </c>
      <c r="CC3" s="3">
        <v>41295.699999999997</v>
      </c>
      <c r="CD3" s="3">
        <v>41491.699999999997</v>
      </c>
      <c r="CE3" s="3">
        <v>41556</v>
      </c>
      <c r="CF3" s="3">
        <v>41456.9</v>
      </c>
      <c r="CG3" s="3">
        <v>41283.300000000003</v>
      </c>
      <c r="CH3" s="3">
        <v>41442.199999999997</v>
      </c>
      <c r="CI3" s="3">
        <v>41671.9</v>
      </c>
      <c r="CJ3" s="3">
        <v>42256.5</v>
      </c>
      <c r="CK3" s="3">
        <v>42319.7</v>
      </c>
      <c r="CL3" s="3">
        <v>43014.1</v>
      </c>
      <c r="CM3" s="3">
        <v>45128.3</v>
      </c>
      <c r="CN3" s="3">
        <v>43561.1</v>
      </c>
      <c r="CO3" s="3">
        <v>44526.9</v>
      </c>
      <c r="CP3" s="3">
        <v>43594.1</v>
      </c>
      <c r="CQ3" s="3">
        <v>43251.3</v>
      </c>
      <c r="CR3" s="3">
        <v>43172.2</v>
      </c>
      <c r="CS3" s="3">
        <v>42116.6</v>
      </c>
      <c r="CT3" s="3">
        <v>41831.199999999997</v>
      </c>
      <c r="CU3" s="3">
        <v>41493.5</v>
      </c>
      <c r="CV3" s="3">
        <v>40987.300000000003</v>
      </c>
      <c r="CW3" s="3">
        <v>41657</v>
      </c>
      <c r="CX3" s="3">
        <v>43069.9</v>
      </c>
      <c r="CY3" s="3">
        <v>41588.800000000003</v>
      </c>
      <c r="CZ3" s="3">
        <v>41094.1</v>
      </c>
      <c r="DA3" s="3">
        <v>42310.2</v>
      </c>
      <c r="DB3" s="3">
        <v>41771.699999999997</v>
      </c>
      <c r="DC3" s="3">
        <v>40784</v>
      </c>
    </row>
    <row r="4" spans="1:107" ht="20.100000000000001" customHeight="1" x14ac:dyDescent="0.3">
      <c r="A4" s="4" t="s">
        <v>109</v>
      </c>
      <c r="B4" s="3">
        <v>216688</v>
      </c>
      <c r="C4" s="3">
        <v>226088.5</v>
      </c>
      <c r="D4" s="3">
        <v>232582.6</v>
      </c>
      <c r="E4" s="3">
        <v>238809.5</v>
      </c>
      <c r="F4" s="3">
        <v>243573.1</v>
      </c>
      <c r="G4" s="3">
        <v>247325.9</v>
      </c>
      <c r="H4" s="3">
        <v>254117.2</v>
      </c>
      <c r="I4" s="3">
        <v>253273</v>
      </c>
      <c r="J4" s="3">
        <v>255820.79999999999</v>
      </c>
      <c r="K4" s="3">
        <v>259678.3</v>
      </c>
      <c r="L4" s="3">
        <v>262985.59999999998</v>
      </c>
      <c r="M4" s="3">
        <v>266982.90000000002</v>
      </c>
      <c r="N4" s="3">
        <v>274419.90000000002</v>
      </c>
      <c r="O4" s="3">
        <v>279643.7</v>
      </c>
      <c r="P4" s="3">
        <v>284837.5</v>
      </c>
      <c r="Q4" s="3">
        <v>287527.5</v>
      </c>
      <c r="R4" s="3">
        <v>285982.5</v>
      </c>
      <c r="S4" s="3">
        <v>286171.59999999998</v>
      </c>
      <c r="T4" s="3">
        <v>290747.7</v>
      </c>
      <c r="U4" s="3">
        <v>298161.40000000002</v>
      </c>
      <c r="V4" s="3">
        <v>302404.3</v>
      </c>
      <c r="W4" s="3">
        <v>304926.09999999998</v>
      </c>
      <c r="X4" s="3">
        <v>305706.2</v>
      </c>
      <c r="Y4" s="3">
        <v>308211.90000000002</v>
      </c>
      <c r="Z4" s="3">
        <v>311097.09999999998</v>
      </c>
      <c r="AA4" s="3">
        <v>316930.09999999998</v>
      </c>
      <c r="AB4" s="3">
        <v>321379.3</v>
      </c>
      <c r="AC4" s="3">
        <v>325066.90000000002</v>
      </c>
      <c r="AD4" s="3">
        <v>330234.40000000002</v>
      </c>
      <c r="AE4" s="3">
        <v>332617.8</v>
      </c>
      <c r="AF4" s="3">
        <v>337830.8</v>
      </c>
      <c r="AG4" s="3">
        <v>340636.5</v>
      </c>
      <c r="AH4" s="3">
        <v>346675</v>
      </c>
      <c r="AI4" s="3">
        <v>352543.6</v>
      </c>
      <c r="AJ4" s="3">
        <v>356718.2</v>
      </c>
      <c r="AK4" s="3">
        <v>363742.3</v>
      </c>
      <c r="AL4" s="3">
        <v>366484.8</v>
      </c>
      <c r="AM4" s="3">
        <v>367818.8</v>
      </c>
      <c r="AN4" s="3">
        <v>370260.1</v>
      </c>
      <c r="AO4" s="3">
        <v>357768.2</v>
      </c>
      <c r="AP4" s="3">
        <v>358711.7</v>
      </c>
      <c r="AQ4" s="3">
        <v>363561</v>
      </c>
      <c r="AR4" s="3">
        <v>374652</v>
      </c>
      <c r="AS4" s="3">
        <v>377396.3</v>
      </c>
      <c r="AT4" s="3">
        <v>386238.5</v>
      </c>
      <c r="AU4" s="3">
        <v>392479</v>
      </c>
      <c r="AV4" s="3">
        <v>396469.6</v>
      </c>
      <c r="AW4" s="3">
        <v>402066</v>
      </c>
      <c r="AX4" s="3">
        <v>405904.8</v>
      </c>
      <c r="AY4" s="3">
        <v>407666.7</v>
      </c>
      <c r="AZ4" s="3">
        <v>409552.3</v>
      </c>
      <c r="BA4" s="3">
        <v>412298.9</v>
      </c>
      <c r="BB4" s="3">
        <v>416240.7</v>
      </c>
      <c r="BC4" s="3">
        <v>417998</v>
      </c>
      <c r="BD4" s="3">
        <v>419861.6</v>
      </c>
      <c r="BE4" s="3">
        <v>422987.5</v>
      </c>
      <c r="BF4" s="3">
        <v>426342.40000000002</v>
      </c>
      <c r="BG4" s="3">
        <v>431160.1</v>
      </c>
      <c r="BH4" s="3">
        <v>435484.7</v>
      </c>
      <c r="BI4" s="3">
        <v>439300.3</v>
      </c>
      <c r="BJ4" s="3">
        <v>442669.9</v>
      </c>
      <c r="BK4" s="3">
        <v>446872.4</v>
      </c>
      <c r="BL4" s="3">
        <v>448023.5</v>
      </c>
      <c r="BM4" s="3">
        <v>450409.2</v>
      </c>
      <c r="BN4" s="3">
        <v>454302.8</v>
      </c>
      <c r="BO4" s="3">
        <v>456256.6</v>
      </c>
      <c r="BP4" s="3">
        <v>463025.5</v>
      </c>
      <c r="BQ4" s="3">
        <v>466604</v>
      </c>
      <c r="BR4" s="3">
        <v>468400.3</v>
      </c>
      <c r="BS4" s="3">
        <v>474271.5</v>
      </c>
      <c r="BT4" s="3">
        <v>476105.6</v>
      </c>
      <c r="BU4" s="3">
        <v>479773.7</v>
      </c>
      <c r="BV4" s="3">
        <v>485188.1</v>
      </c>
      <c r="BW4" s="3">
        <v>488752.2</v>
      </c>
      <c r="BX4" s="3">
        <v>495472.5</v>
      </c>
      <c r="BY4" s="3">
        <v>494319.3</v>
      </c>
      <c r="BZ4" s="3">
        <v>501586.1</v>
      </c>
      <c r="CA4" s="3">
        <v>505496.7</v>
      </c>
      <c r="CB4" s="3">
        <v>508089.3</v>
      </c>
      <c r="CC4" s="3">
        <v>510930.2</v>
      </c>
      <c r="CD4" s="3">
        <v>511364</v>
      </c>
      <c r="CE4" s="3">
        <v>518107.4</v>
      </c>
      <c r="CF4" s="3">
        <v>519165.9</v>
      </c>
      <c r="CG4" s="3">
        <v>524345.1</v>
      </c>
      <c r="CH4" s="3">
        <v>517612</v>
      </c>
      <c r="CI4" s="3">
        <v>503461.2</v>
      </c>
      <c r="CJ4" s="3">
        <v>514615</v>
      </c>
      <c r="CK4" s="3">
        <v>522778.3</v>
      </c>
      <c r="CL4" s="3">
        <v>530731.1</v>
      </c>
      <c r="CM4" s="3">
        <v>538119.9</v>
      </c>
      <c r="CN4" s="3">
        <v>538107.6</v>
      </c>
      <c r="CO4" s="3">
        <v>546464.30000000005</v>
      </c>
      <c r="CP4" s="3">
        <v>548545.80000000005</v>
      </c>
      <c r="CQ4" s="3">
        <v>553397.80000000005</v>
      </c>
      <c r="CR4" s="3">
        <v>556130.30000000005</v>
      </c>
      <c r="CS4" s="3">
        <v>554084.9</v>
      </c>
      <c r="CT4" s="3">
        <v>556056.4</v>
      </c>
      <c r="CU4" s="3">
        <v>559865.59999999998</v>
      </c>
      <c r="CV4" s="3">
        <v>564243.5</v>
      </c>
      <c r="CW4" s="3">
        <v>567012.30000000005</v>
      </c>
      <c r="CX4" s="3">
        <v>573667.30000000005</v>
      </c>
      <c r="CY4" s="3">
        <v>572357.1</v>
      </c>
      <c r="CZ4" s="3">
        <v>572866.1</v>
      </c>
      <c r="DA4" s="3">
        <v>573311.80000000005</v>
      </c>
      <c r="DB4" s="3">
        <v>572057.69999999995</v>
      </c>
      <c r="DC4" s="3">
        <v>575918.30000000005</v>
      </c>
    </row>
    <row r="5" spans="1:107" ht="20.100000000000001" customHeight="1" x14ac:dyDescent="0.3">
      <c r="A5" s="4" t="s">
        <v>110</v>
      </c>
      <c r="B5" s="3">
        <v>18398.099999999999</v>
      </c>
      <c r="C5" s="3">
        <v>17205.900000000001</v>
      </c>
      <c r="D5" s="3">
        <v>13327.3</v>
      </c>
      <c r="E5" s="3">
        <v>14377.8</v>
      </c>
      <c r="F5" s="3">
        <v>12497.8</v>
      </c>
      <c r="G5" s="3">
        <v>10448.6</v>
      </c>
      <c r="H5" s="3">
        <v>11005.6</v>
      </c>
      <c r="I5" s="3">
        <v>7767.9</v>
      </c>
      <c r="J5" s="3">
        <v>11054.6</v>
      </c>
      <c r="K5" s="3">
        <v>8362.9</v>
      </c>
      <c r="L5" s="3">
        <v>7818.1</v>
      </c>
      <c r="M5" s="3">
        <v>7469.8</v>
      </c>
      <c r="N5" s="3">
        <v>13591</v>
      </c>
      <c r="O5" s="3">
        <v>10816.3</v>
      </c>
      <c r="P5" s="3">
        <v>11217.3</v>
      </c>
      <c r="Q5" s="3">
        <v>9305.7000000000007</v>
      </c>
      <c r="R5" s="3">
        <v>9177.5</v>
      </c>
      <c r="S5" s="3">
        <v>9872.1</v>
      </c>
      <c r="T5" s="3">
        <v>10532.4</v>
      </c>
      <c r="U5" s="3">
        <v>11576.8</v>
      </c>
      <c r="V5" s="3">
        <v>7780.1</v>
      </c>
      <c r="W5" s="3">
        <v>6605.4</v>
      </c>
      <c r="X5" s="3">
        <v>6656.7</v>
      </c>
      <c r="Y5" s="3">
        <v>8360.6</v>
      </c>
      <c r="Z5" s="3">
        <v>7081.6</v>
      </c>
      <c r="AA5" s="3">
        <v>4539.3</v>
      </c>
      <c r="AB5" s="3">
        <v>2515.5</v>
      </c>
      <c r="AC5" s="3">
        <v>2323.4</v>
      </c>
      <c r="AD5" s="3">
        <v>-1742.1</v>
      </c>
      <c r="AE5" s="3">
        <v>-2433.1999999999998</v>
      </c>
      <c r="AF5" s="3">
        <v>-1796.1</v>
      </c>
      <c r="AG5" s="3">
        <v>1269.0999999999999</v>
      </c>
      <c r="AH5" s="3">
        <v>-1881.4</v>
      </c>
      <c r="AI5" s="3">
        <v>-2314.6999999999998</v>
      </c>
      <c r="AJ5" s="3">
        <v>-526.20000000000005</v>
      </c>
      <c r="AK5" s="3">
        <v>-4499.7</v>
      </c>
      <c r="AL5" s="3">
        <v>-9293.2000000000007</v>
      </c>
      <c r="AM5" s="3">
        <v>-11528.6</v>
      </c>
      <c r="AN5" s="3">
        <v>-14831.1</v>
      </c>
      <c r="AO5" s="3">
        <v>-14313</v>
      </c>
      <c r="AP5" s="3">
        <v>-11777.8</v>
      </c>
      <c r="AQ5" s="3">
        <v>-954.9</v>
      </c>
      <c r="AR5" s="3">
        <v>-5263.5</v>
      </c>
      <c r="AS5" s="3">
        <v>-4978</v>
      </c>
      <c r="AT5" s="3">
        <v>-5276.9</v>
      </c>
      <c r="AU5" s="3">
        <v>-4426.7</v>
      </c>
      <c r="AV5" s="3">
        <v>-4287.6000000000004</v>
      </c>
      <c r="AW5" s="3">
        <v>-7759.9</v>
      </c>
      <c r="AX5" s="3">
        <v>-16080.5</v>
      </c>
      <c r="AY5" s="3">
        <v>-14822.9</v>
      </c>
      <c r="AZ5" s="3">
        <v>-13958.7</v>
      </c>
      <c r="BA5" s="3">
        <v>-15804.6</v>
      </c>
      <c r="BB5" s="3">
        <v>-17168.5</v>
      </c>
      <c r="BC5" s="3">
        <v>-17738.7</v>
      </c>
      <c r="BD5" s="3">
        <v>-12328.1</v>
      </c>
      <c r="BE5" s="3">
        <v>-13619.1</v>
      </c>
      <c r="BF5" s="3">
        <v>-14533.8</v>
      </c>
      <c r="BG5" s="3">
        <v>-10783</v>
      </c>
      <c r="BH5" s="3">
        <v>-9801.5</v>
      </c>
      <c r="BI5" s="3">
        <v>-11069.3</v>
      </c>
      <c r="BJ5" s="3">
        <v>-11649.4</v>
      </c>
      <c r="BK5" s="3">
        <v>-9948</v>
      </c>
      <c r="BL5" s="3">
        <v>-11550</v>
      </c>
      <c r="BM5" s="3">
        <v>-7672.3</v>
      </c>
      <c r="BN5" s="3">
        <v>4327.5</v>
      </c>
      <c r="BO5" s="3">
        <v>6868.7</v>
      </c>
      <c r="BP5" s="3">
        <v>6180</v>
      </c>
      <c r="BQ5" s="3">
        <v>6948.7</v>
      </c>
      <c r="BR5" s="3">
        <v>15640</v>
      </c>
      <c r="BS5" s="3">
        <v>13655.9</v>
      </c>
      <c r="BT5" s="3">
        <v>10755.6</v>
      </c>
      <c r="BU5" s="3">
        <v>11138</v>
      </c>
      <c r="BV5" s="3">
        <v>13029</v>
      </c>
      <c r="BW5" s="3">
        <v>11880.9</v>
      </c>
      <c r="BX5" s="3">
        <v>14194.7</v>
      </c>
      <c r="BY5" s="3">
        <v>9166.1</v>
      </c>
      <c r="BZ5" s="3">
        <v>13176.5</v>
      </c>
      <c r="CA5" s="3">
        <v>7671.7</v>
      </c>
      <c r="CB5" s="3">
        <v>4478</v>
      </c>
      <c r="CC5" s="3">
        <v>-49.6</v>
      </c>
      <c r="CD5" s="3">
        <v>4888.3999999999996</v>
      </c>
      <c r="CE5" s="3">
        <v>-4868.3</v>
      </c>
      <c r="CF5" s="3">
        <v>-7783.8</v>
      </c>
      <c r="CG5" s="3">
        <v>-9382.1</v>
      </c>
      <c r="CH5" s="3">
        <v>-2685.8</v>
      </c>
      <c r="CI5" s="3">
        <v>1062.5</v>
      </c>
      <c r="CJ5" s="3">
        <v>1255.5</v>
      </c>
      <c r="CK5" s="3">
        <v>367.8</v>
      </c>
      <c r="CL5" s="3">
        <v>3131.7</v>
      </c>
      <c r="CM5" s="3">
        <v>-4786.7</v>
      </c>
      <c r="CN5" s="3">
        <v>-6182</v>
      </c>
      <c r="CO5" s="3">
        <v>-13783.1</v>
      </c>
      <c r="CP5" s="3">
        <v>-12841.5</v>
      </c>
      <c r="CQ5" s="3">
        <v>-22655.3</v>
      </c>
      <c r="CR5" s="3">
        <v>-30988.400000000001</v>
      </c>
      <c r="CS5" s="3">
        <v>-28138.2</v>
      </c>
      <c r="CT5" s="3">
        <v>-26571.3</v>
      </c>
      <c r="CU5" s="3">
        <v>-27917.8</v>
      </c>
      <c r="CV5" s="3">
        <v>-20035.8</v>
      </c>
      <c r="CW5" s="3">
        <v>-17135</v>
      </c>
      <c r="CX5" s="3">
        <v>-13222.9</v>
      </c>
      <c r="CY5" s="3">
        <v>-14250</v>
      </c>
      <c r="CZ5" s="3">
        <v>-13567.6</v>
      </c>
      <c r="DA5" s="3">
        <v>-10839.1</v>
      </c>
      <c r="DB5" s="3">
        <v>-13027.6</v>
      </c>
      <c r="DC5" s="3">
        <v>-8594</v>
      </c>
    </row>
    <row r="6" spans="1:107" ht="20.100000000000001" customHeight="1" x14ac:dyDescent="0.3">
      <c r="A6" s="4" t="s">
        <v>111</v>
      </c>
      <c r="B6" s="3">
        <v>235086.1</v>
      </c>
      <c r="C6" s="3">
        <v>243294.4</v>
      </c>
      <c r="D6" s="3">
        <v>245909.9</v>
      </c>
      <c r="E6" s="3">
        <v>253187.3</v>
      </c>
      <c r="F6" s="3">
        <v>256070.9</v>
      </c>
      <c r="G6" s="3">
        <v>257774.5</v>
      </c>
      <c r="H6" s="3">
        <v>265122.8</v>
      </c>
      <c r="I6" s="3">
        <v>261040.9</v>
      </c>
      <c r="J6" s="3">
        <v>266875.40000000002</v>
      </c>
      <c r="K6" s="3">
        <v>268041.2</v>
      </c>
      <c r="L6" s="3">
        <v>270803.7</v>
      </c>
      <c r="M6" s="3">
        <v>274452.8</v>
      </c>
      <c r="N6" s="3">
        <v>288010.90000000002</v>
      </c>
      <c r="O6" s="3">
        <v>290460</v>
      </c>
      <c r="P6" s="3">
        <v>296054.8</v>
      </c>
      <c r="Q6" s="3">
        <v>296833.2</v>
      </c>
      <c r="R6" s="3">
        <v>295159.90000000002</v>
      </c>
      <c r="S6" s="3">
        <v>296043.7</v>
      </c>
      <c r="T6" s="3">
        <v>301280.09999999998</v>
      </c>
      <c r="U6" s="3">
        <v>309738.3</v>
      </c>
      <c r="V6" s="3">
        <v>310184.40000000002</v>
      </c>
      <c r="W6" s="3">
        <v>311531.59999999998</v>
      </c>
      <c r="X6" s="3">
        <v>312363</v>
      </c>
      <c r="Y6" s="3">
        <v>316572.5</v>
      </c>
      <c r="Z6" s="3">
        <v>318178.7</v>
      </c>
      <c r="AA6" s="3">
        <v>321469.40000000002</v>
      </c>
      <c r="AB6" s="3">
        <v>323894.8</v>
      </c>
      <c r="AC6" s="3">
        <v>327390.3</v>
      </c>
      <c r="AD6" s="3">
        <v>328492.2</v>
      </c>
      <c r="AE6" s="3">
        <v>330184.7</v>
      </c>
      <c r="AF6" s="3">
        <v>336034.7</v>
      </c>
      <c r="AG6" s="3">
        <v>341905.7</v>
      </c>
      <c r="AH6" s="3">
        <v>344793.5</v>
      </c>
      <c r="AI6" s="3">
        <v>350228.9</v>
      </c>
      <c r="AJ6" s="3">
        <v>356192</v>
      </c>
      <c r="AK6" s="3">
        <v>359242.5</v>
      </c>
      <c r="AL6" s="3">
        <v>357191.6</v>
      </c>
      <c r="AM6" s="3">
        <v>356290.2</v>
      </c>
      <c r="AN6" s="3">
        <v>355428.9</v>
      </c>
      <c r="AO6" s="3">
        <v>343455.2</v>
      </c>
      <c r="AP6" s="3">
        <v>346934</v>
      </c>
      <c r="AQ6" s="3">
        <v>362606.1</v>
      </c>
      <c r="AR6" s="3">
        <v>369388.5</v>
      </c>
      <c r="AS6" s="3">
        <v>372418.3</v>
      </c>
      <c r="AT6" s="3">
        <v>380961.6</v>
      </c>
      <c r="AU6" s="3">
        <v>388052.2</v>
      </c>
      <c r="AV6" s="3">
        <v>392182</v>
      </c>
      <c r="AW6" s="3">
        <v>394306.1</v>
      </c>
      <c r="AX6" s="3">
        <v>389824.3</v>
      </c>
      <c r="AY6" s="3">
        <v>392843.8</v>
      </c>
      <c r="AZ6" s="3">
        <v>395593.7</v>
      </c>
      <c r="BA6" s="3">
        <v>396494.3</v>
      </c>
      <c r="BB6" s="3">
        <v>399072.3</v>
      </c>
      <c r="BC6" s="3">
        <v>400259.3</v>
      </c>
      <c r="BD6" s="3">
        <v>407533.4</v>
      </c>
      <c r="BE6" s="3">
        <v>409368.4</v>
      </c>
      <c r="BF6" s="3">
        <v>411808.6</v>
      </c>
      <c r="BG6" s="3">
        <v>420377</v>
      </c>
      <c r="BH6" s="3">
        <v>425683.20000000001</v>
      </c>
      <c r="BI6" s="3">
        <v>428231</v>
      </c>
      <c r="BJ6" s="3">
        <v>431020.4</v>
      </c>
      <c r="BK6" s="3">
        <v>436924.3</v>
      </c>
      <c r="BL6" s="3">
        <v>436473.5</v>
      </c>
      <c r="BM6" s="3">
        <v>442736.9</v>
      </c>
      <c r="BN6" s="3">
        <v>458630.3</v>
      </c>
      <c r="BO6" s="3">
        <v>463125.3</v>
      </c>
      <c r="BP6" s="3">
        <v>469205.6</v>
      </c>
      <c r="BQ6" s="3">
        <v>473552.7</v>
      </c>
      <c r="BR6" s="3">
        <v>484040.4</v>
      </c>
      <c r="BS6" s="3">
        <v>487927.4</v>
      </c>
      <c r="BT6" s="3">
        <v>486861.2</v>
      </c>
      <c r="BU6" s="3">
        <v>490911.7</v>
      </c>
      <c r="BV6" s="3">
        <v>498217</v>
      </c>
      <c r="BW6" s="3">
        <v>500633.1</v>
      </c>
      <c r="BX6" s="3">
        <v>509667.2</v>
      </c>
      <c r="BY6" s="3">
        <v>503485.4</v>
      </c>
      <c r="BZ6" s="3">
        <v>514762.6</v>
      </c>
      <c r="CA6" s="3">
        <v>513168.5</v>
      </c>
      <c r="CB6" s="3">
        <v>512567.3</v>
      </c>
      <c r="CC6" s="3">
        <v>510880.6</v>
      </c>
      <c r="CD6" s="3">
        <v>516252.4</v>
      </c>
      <c r="CE6" s="3">
        <v>513239.1</v>
      </c>
      <c r="CF6" s="3">
        <v>511382.1</v>
      </c>
      <c r="CG6" s="3">
        <v>514963</v>
      </c>
      <c r="CH6" s="3">
        <v>514926.2</v>
      </c>
      <c r="CI6" s="3">
        <v>504523.7</v>
      </c>
      <c r="CJ6" s="3">
        <v>515870.5</v>
      </c>
      <c r="CK6" s="3">
        <v>523146.2</v>
      </c>
      <c r="CL6" s="3">
        <v>533862.80000000005</v>
      </c>
      <c r="CM6" s="3">
        <v>533333.19999999995</v>
      </c>
      <c r="CN6" s="3">
        <v>531925.69999999995</v>
      </c>
      <c r="CO6" s="3">
        <v>532681.19999999995</v>
      </c>
      <c r="CP6" s="3">
        <v>535704.30000000005</v>
      </c>
      <c r="CQ6" s="3">
        <v>530742.5</v>
      </c>
      <c r="CR6" s="3">
        <v>525142</v>
      </c>
      <c r="CS6" s="3">
        <v>525946.69999999995</v>
      </c>
      <c r="CT6" s="3">
        <v>529485.1</v>
      </c>
      <c r="CU6" s="3">
        <v>531947.80000000005</v>
      </c>
      <c r="CV6" s="3">
        <v>544207.6</v>
      </c>
      <c r="CW6" s="3">
        <v>549877.30000000005</v>
      </c>
      <c r="CX6" s="3">
        <v>560444.4</v>
      </c>
      <c r="CY6" s="3">
        <v>558107.19999999995</v>
      </c>
      <c r="CZ6" s="3">
        <v>559298.5</v>
      </c>
      <c r="DA6" s="3">
        <v>562472.69999999995</v>
      </c>
      <c r="DB6" s="3">
        <v>559030.1</v>
      </c>
      <c r="DC6" s="3">
        <v>567324.30000000005</v>
      </c>
    </row>
    <row r="7" spans="1:107" ht="20.100000000000001" customHeight="1" x14ac:dyDescent="0.3">
      <c r="A7" s="4" t="s">
        <v>112</v>
      </c>
      <c r="B7" s="3">
        <v>-3000.1</v>
      </c>
      <c r="C7" s="3">
        <v>-2689.6</v>
      </c>
      <c r="D7" s="3">
        <v>-2444.8000000000002</v>
      </c>
      <c r="E7" s="3">
        <v>-2594.1</v>
      </c>
      <c r="F7" s="3">
        <v>-1895</v>
      </c>
      <c r="G7" s="3">
        <v>-1569.3</v>
      </c>
      <c r="H7" s="3">
        <v>-2148.5</v>
      </c>
      <c r="I7" s="3">
        <v>-1337.9</v>
      </c>
      <c r="J7" s="3">
        <v>-2209.5</v>
      </c>
      <c r="K7" s="3">
        <v>-1294.0999999999999</v>
      </c>
      <c r="L7" s="3">
        <v>-1892.3</v>
      </c>
      <c r="M7" s="3">
        <v>-1825.1</v>
      </c>
      <c r="N7" s="3">
        <v>-1441.1</v>
      </c>
      <c r="O7" s="3">
        <v>-1645.9</v>
      </c>
      <c r="P7" s="3">
        <v>-321.3</v>
      </c>
      <c r="Q7" s="3">
        <v>-858.2</v>
      </c>
      <c r="R7" s="3">
        <v>-1088.5999999999999</v>
      </c>
      <c r="S7" s="3">
        <v>-1703.9</v>
      </c>
      <c r="T7" s="3">
        <v>-818.9</v>
      </c>
      <c r="U7" s="3">
        <v>-482.9</v>
      </c>
      <c r="V7" s="3">
        <v>-582.79999999999995</v>
      </c>
      <c r="W7" s="3">
        <v>-1350.8</v>
      </c>
      <c r="X7" s="3">
        <v>-769.5</v>
      </c>
      <c r="Y7" s="3">
        <v>543.9</v>
      </c>
      <c r="Z7" s="3">
        <v>-771.5</v>
      </c>
      <c r="AA7" s="3">
        <v>-2038</v>
      </c>
      <c r="AB7" s="3">
        <v>-3545.4</v>
      </c>
      <c r="AC7" s="3">
        <v>-2692.7</v>
      </c>
      <c r="AD7" s="3">
        <v>-1988.6</v>
      </c>
      <c r="AE7" s="3">
        <v>-1121</v>
      </c>
      <c r="AF7" s="3">
        <v>-392.7</v>
      </c>
      <c r="AG7" s="3">
        <v>-414</v>
      </c>
      <c r="AH7" s="3">
        <v>-2056.1999999999998</v>
      </c>
      <c r="AI7" s="3">
        <v>-1044.5999999999999</v>
      </c>
      <c r="AJ7" s="3">
        <v>613.20000000000005</v>
      </c>
      <c r="AK7" s="3">
        <v>-1135.7</v>
      </c>
      <c r="AL7" s="3">
        <v>861.4</v>
      </c>
      <c r="AM7" s="3">
        <v>-641.6</v>
      </c>
      <c r="AN7" s="3">
        <v>-1851.9</v>
      </c>
      <c r="AO7" s="3">
        <v>1827.8</v>
      </c>
      <c r="AP7" s="3">
        <v>-1066.5</v>
      </c>
      <c r="AQ7" s="3">
        <v>114</v>
      </c>
      <c r="AR7" s="3">
        <v>-388.4</v>
      </c>
      <c r="AS7" s="3">
        <v>-760.9</v>
      </c>
      <c r="AT7" s="3">
        <v>1723.6</v>
      </c>
      <c r="AU7" s="3">
        <v>1362.4</v>
      </c>
      <c r="AV7" s="3">
        <v>1625.7</v>
      </c>
      <c r="AW7" s="3">
        <v>-2476.3000000000002</v>
      </c>
      <c r="AX7" s="3">
        <v>524.29999999999995</v>
      </c>
      <c r="AY7" s="3">
        <v>2121.9</v>
      </c>
      <c r="AZ7" s="3">
        <v>3786.6</v>
      </c>
      <c r="BA7" s="3">
        <v>3144.2</v>
      </c>
      <c r="BB7" s="3">
        <v>3704.5</v>
      </c>
      <c r="BC7" s="3">
        <v>5461.8</v>
      </c>
      <c r="BD7" s="3">
        <v>3802.9</v>
      </c>
      <c r="BE7" s="3">
        <v>3665</v>
      </c>
      <c r="BF7" s="3">
        <v>2595.3000000000002</v>
      </c>
      <c r="BG7" s="3">
        <v>3100</v>
      </c>
      <c r="BH7" s="3">
        <v>1993.2</v>
      </c>
      <c r="BI7" s="3">
        <v>2841.6</v>
      </c>
      <c r="BJ7" s="3">
        <v>-281</v>
      </c>
      <c r="BK7" s="3">
        <v>3081.7</v>
      </c>
      <c r="BL7" s="3">
        <v>1925.2</v>
      </c>
      <c r="BM7" s="3">
        <v>3567.4</v>
      </c>
      <c r="BN7" s="3">
        <v>4867.3</v>
      </c>
      <c r="BO7" s="3">
        <v>-127.4</v>
      </c>
      <c r="BP7" s="3">
        <v>1152.0999999999999</v>
      </c>
      <c r="BQ7" s="3">
        <v>-235.3</v>
      </c>
      <c r="BR7" s="3">
        <v>1426.4</v>
      </c>
      <c r="BS7" s="3">
        <v>3009.3</v>
      </c>
      <c r="BT7" s="3">
        <v>1612.2</v>
      </c>
      <c r="BU7" s="3">
        <v>667.4</v>
      </c>
      <c r="BV7" s="3">
        <v>1502.2</v>
      </c>
      <c r="BW7" s="3">
        <v>610.6</v>
      </c>
      <c r="BX7" s="3">
        <v>2976.7</v>
      </c>
      <c r="BY7" s="3">
        <v>2583.5</v>
      </c>
      <c r="BZ7" s="3">
        <v>2095.3000000000002</v>
      </c>
      <c r="CA7" s="3">
        <v>1590.4</v>
      </c>
      <c r="CB7" s="3">
        <v>1821</v>
      </c>
      <c r="CC7" s="3">
        <v>2177.1</v>
      </c>
      <c r="CD7" s="3">
        <v>929.5</v>
      </c>
      <c r="CE7" s="3">
        <v>3688.2</v>
      </c>
      <c r="CF7" s="3">
        <v>6999.1</v>
      </c>
      <c r="CG7" s="3">
        <v>4869.3</v>
      </c>
      <c r="CH7" s="3">
        <v>4757.8</v>
      </c>
      <c r="CI7" s="3">
        <v>3602.3</v>
      </c>
      <c r="CJ7" s="3">
        <v>2803.2</v>
      </c>
      <c r="CK7" s="3">
        <v>5780.5</v>
      </c>
      <c r="CL7" s="3">
        <v>4366.8999999999996</v>
      </c>
      <c r="CM7" s="3">
        <v>11116</v>
      </c>
      <c r="CN7" s="3">
        <v>2305.1</v>
      </c>
      <c r="CO7" s="3">
        <v>4765.7</v>
      </c>
      <c r="CP7" s="3">
        <v>4967.7</v>
      </c>
      <c r="CQ7" s="3">
        <v>6921.4</v>
      </c>
      <c r="CR7" s="3">
        <v>6643.9</v>
      </c>
      <c r="CS7" s="3">
        <v>7051.2</v>
      </c>
      <c r="CT7" s="3">
        <v>8376.5</v>
      </c>
      <c r="CU7" s="3">
        <v>6831.5</v>
      </c>
      <c r="CV7" s="3">
        <v>7108.3</v>
      </c>
      <c r="CW7" s="3">
        <v>8767.1</v>
      </c>
      <c r="CX7" s="3">
        <v>7889.1</v>
      </c>
      <c r="CY7" s="3">
        <v>7356.8</v>
      </c>
      <c r="CZ7" s="3">
        <v>8126</v>
      </c>
      <c r="DA7" s="3">
        <v>8929.6</v>
      </c>
      <c r="DB7" s="3">
        <v>12953.6</v>
      </c>
      <c r="DC7" s="3">
        <v>10212.1</v>
      </c>
    </row>
    <row r="8" spans="1:107" ht="20.100000000000001" customHeight="1" x14ac:dyDescent="0.3">
      <c r="A8" s="5" t="s">
        <v>113</v>
      </c>
      <c r="B8" s="3">
        <v>232205.5</v>
      </c>
      <c r="C8" s="3">
        <v>240734.5</v>
      </c>
      <c r="D8" s="3">
        <v>243599.6</v>
      </c>
      <c r="E8" s="3">
        <v>250729.2</v>
      </c>
      <c r="F8" s="3">
        <v>254281.1</v>
      </c>
      <c r="G8" s="3">
        <v>256297.5</v>
      </c>
      <c r="H8" s="3">
        <v>263088.40000000002</v>
      </c>
      <c r="I8" s="3">
        <v>259787.8</v>
      </c>
      <c r="J8" s="3">
        <v>264781.3</v>
      </c>
      <c r="K8" s="3">
        <v>266834.5</v>
      </c>
      <c r="L8" s="3">
        <v>269017.59999999998</v>
      </c>
      <c r="M8" s="3">
        <v>272731.8</v>
      </c>
      <c r="N8" s="3">
        <v>286667.8</v>
      </c>
      <c r="O8" s="3">
        <v>288918.3</v>
      </c>
      <c r="P8" s="3">
        <v>295800.3</v>
      </c>
      <c r="Q8" s="3">
        <v>296056.59999999998</v>
      </c>
      <c r="R8" s="3">
        <v>294159.3</v>
      </c>
      <c r="S8" s="3">
        <v>294443.7</v>
      </c>
      <c r="T8" s="3">
        <v>300545.7</v>
      </c>
      <c r="U8" s="3">
        <v>309332.7</v>
      </c>
      <c r="V8" s="3">
        <v>309678</v>
      </c>
      <c r="W8" s="3">
        <v>310278.09999999998</v>
      </c>
      <c r="X8" s="3">
        <v>311673.7</v>
      </c>
      <c r="Y8" s="3">
        <v>317166.8</v>
      </c>
      <c r="Z8" s="3">
        <v>317492.2</v>
      </c>
      <c r="AA8" s="3">
        <v>319559.8</v>
      </c>
      <c r="AB8" s="3">
        <v>320529.09999999998</v>
      </c>
      <c r="AC8" s="3">
        <v>324849.09999999998</v>
      </c>
      <c r="AD8" s="3">
        <v>326632.09999999998</v>
      </c>
      <c r="AE8" s="3">
        <v>329164.7</v>
      </c>
      <c r="AF8" s="3">
        <v>335720.9</v>
      </c>
      <c r="AG8" s="3">
        <v>341572.6</v>
      </c>
      <c r="AH8" s="3">
        <v>342873.59999999998</v>
      </c>
      <c r="AI8" s="3">
        <v>349288</v>
      </c>
      <c r="AJ8" s="3">
        <v>356855</v>
      </c>
      <c r="AK8" s="3">
        <v>358216.1</v>
      </c>
      <c r="AL8" s="3">
        <v>358082.3</v>
      </c>
      <c r="AM8" s="3">
        <v>355739</v>
      </c>
      <c r="AN8" s="3">
        <v>353716.2</v>
      </c>
      <c r="AO8" s="3">
        <v>345272.4</v>
      </c>
      <c r="AP8" s="3">
        <v>345971.9</v>
      </c>
      <c r="AQ8" s="3">
        <v>362772.9</v>
      </c>
      <c r="AR8" s="3">
        <v>369074.2</v>
      </c>
      <c r="AS8" s="3">
        <v>371750.8</v>
      </c>
      <c r="AT8" s="3">
        <v>382709.9</v>
      </c>
      <c r="AU8" s="3">
        <v>389450.1</v>
      </c>
      <c r="AV8" s="3">
        <v>393838.3</v>
      </c>
      <c r="AW8" s="3">
        <v>391958.1</v>
      </c>
      <c r="AX8" s="3">
        <v>390403.3</v>
      </c>
      <c r="AY8" s="3">
        <v>394970</v>
      </c>
      <c r="AZ8" s="3">
        <v>399331.6</v>
      </c>
      <c r="BA8" s="3">
        <v>399610.1</v>
      </c>
      <c r="BB8" s="3">
        <v>402731</v>
      </c>
      <c r="BC8" s="3">
        <v>405611.7</v>
      </c>
      <c r="BD8" s="3">
        <v>411284.7</v>
      </c>
      <c r="BE8" s="3">
        <v>412985.8</v>
      </c>
      <c r="BF8" s="3">
        <v>414384.3</v>
      </c>
      <c r="BG8" s="3">
        <v>423445.3</v>
      </c>
      <c r="BH8" s="3">
        <v>427676.6</v>
      </c>
      <c r="BI8" s="3">
        <v>431049.4</v>
      </c>
      <c r="BJ8" s="3">
        <v>430785.6</v>
      </c>
      <c r="BK8" s="3">
        <v>439978.9</v>
      </c>
      <c r="BL8" s="3">
        <v>438397.8</v>
      </c>
      <c r="BM8" s="3">
        <v>446268</v>
      </c>
      <c r="BN8" s="3">
        <v>463443.4</v>
      </c>
      <c r="BO8" s="3">
        <v>463039.3</v>
      </c>
      <c r="BP8" s="3">
        <v>470377.7</v>
      </c>
      <c r="BQ8" s="3">
        <v>473361.8</v>
      </c>
      <c r="BR8" s="3">
        <v>485479.8</v>
      </c>
      <c r="BS8" s="3">
        <v>490938.8</v>
      </c>
      <c r="BT8" s="3">
        <v>488484.8</v>
      </c>
      <c r="BU8" s="3">
        <v>491598.2</v>
      </c>
      <c r="BV8" s="3">
        <v>499730.4</v>
      </c>
      <c r="BW8" s="3">
        <v>501258.8</v>
      </c>
      <c r="BX8" s="3">
        <v>512654.1</v>
      </c>
      <c r="BY8" s="3">
        <v>506080.2</v>
      </c>
      <c r="BZ8" s="3">
        <v>516874.7</v>
      </c>
      <c r="CA8" s="3">
        <v>514775.8</v>
      </c>
      <c r="CB8" s="3">
        <v>514403.9</v>
      </c>
      <c r="CC8" s="3">
        <v>513076.8</v>
      </c>
      <c r="CD8" s="3">
        <v>517205.9</v>
      </c>
      <c r="CE8" s="3">
        <v>516937.8</v>
      </c>
      <c r="CF8" s="3">
        <v>518379.1</v>
      </c>
      <c r="CG8" s="3">
        <v>519834.2</v>
      </c>
      <c r="CH8" s="3">
        <v>519682.7</v>
      </c>
      <c r="CI8" s="3">
        <v>508129.5</v>
      </c>
      <c r="CJ8" s="3">
        <v>518673.6</v>
      </c>
      <c r="CK8" s="3">
        <v>528924.4</v>
      </c>
      <c r="CL8" s="3">
        <v>538229.6</v>
      </c>
      <c r="CM8" s="3">
        <v>544449.19999999995</v>
      </c>
      <c r="CN8" s="3">
        <v>534230.80000000005</v>
      </c>
      <c r="CO8" s="3">
        <v>537446.9</v>
      </c>
      <c r="CP8" s="3">
        <v>540673.69999999995</v>
      </c>
      <c r="CQ8" s="3">
        <v>537660</v>
      </c>
      <c r="CR8" s="3">
        <v>531781.9</v>
      </c>
      <c r="CS8" s="3">
        <v>532991.9</v>
      </c>
      <c r="CT8" s="3">
        <v>537852.30000000005</v>
      </c>
      <c r="CU8" s="3">
        <v>538774.80000000005</v>
      </c>
      <c r="CV8" s="3">
        <v>551316.9</v>
      </c>
      <c r="CW8" s="3">
        <v>558635.19999999995</v>
      </c>
      <c r="CX8" s="3">
        <v>568327.80000000005</v>
      </c>
      <c r="CY8" s="3">
        <v>565458.80000000005</v>
      </c>
      <c r="CZ8" s="3">
        <v>567418.4</v>
      </c>
      <c r="DA8" s="3">
        <v>571396.1</v>
      </c>
      <c r="DB8" s="3">
        <v>571969.69999999995</v>
      </c>
      <c r="DC8" s="3">
        <v>577525.80000000005</v>
      </c>
    </row>
    <row r="10" spans="1:107" x14ac:dyDescent="0.3">
      <c r="I10" s="7">
        <f>(SUM(F4:I4)-SUM(B4:E4))/SUM(B4:E4)*100</f>
        <v>9.2018693269490974</v>
      </c>
      <c r="J10" s="7">
        <f t="shared" ref="J10" si="0">(SUM(G4:J4)-SUM(C4:F4))/SUM(C4:F4)*100</f>
        <v>7.3835531383596873</v>
      </c>
      <c r="K10" s="7">
        <f t="shared" ref="K10" si="1">(SUM(H4:K4)-SUM(D4:G4))/SUM(D4:G4)*100</f>
        <v>6.2972836390152702</v>
      </c>
      <c r="L10" s="7">
        <f t="shared" ref="L10" si="2">(SUM(I4:L4)-SUM(E4:H4))/SUM(E4:H4)*100</f>
        <v>4.8720012091572729</v>
      </c>
      <c r="M10" s="7">
        <f t="shared" ref="M10" si="3">(SUM(J4:M4)-SUM(F4:I4))/SUM(F4:I4)*100</f>
        <v>4.7259251126827797</v>
      </c>
      <c r="N10" s="7">
        <f t="shared" ref="N10" si="4">(SUM(K4:N4)-SUM(G4:J4))/SUM(G4:J4)*100</f>
        <v>5.2971643093884335</v>
      </c>
      <c r="O10" s="7">
        <f t="shared" ref="O10" si="5">(SUM(L4:O4)-SUM(H4:K4))/SUM(H4:K4)*100</f>
        <v>5.977460122028849</v>
      </c>
      <c r="P10" s="7">
        <f t="shared" ref="P10" si="6">(SUM(M4:P4)-SUM(I4:L4))/SUM(I4:L4)*100</f>
        <v>7.1844678261184818</v>
      </c>
      <c r="Q10" s="7">
        <f t="shared" ref="Q10" si="7">(SUM(N4:Q4)-SUM(J4:M4))/SUM(J4:M4)*100</f>
        <v>7.7439989531956908</v>
      </c>
      <c r="R10" s="7">
        <f t="shared" ref="R10" si="8">(SUM(O4:R4)-SUM(K4:N4))/SUM(K4:N4)*100</f>
        <v>6.9473558377496216</v>
      </c>
      <c r="S10" s="7">
        <f t="shared" ref="S10" si="9">(SUM(P4:S4)-SUM(L4:O4))/SUM(L4:O4)*100</f>
        <v>5.579816317247432</v>
      </c>
      <c r="T10" s="7">
        <f t="shared" ref="T10" si="10">(SUM(Q4:T4)-SUM(M4:P4))/SUM(M4:P4)*100</f>
        <v>4.0280264476201886</v>
      </c>
      <c r="U10" s="7">
        <f t="shared" ref="U10" si="11">(SUM(R4:U4)-SUM(N4:Q4))/SUM(N4:Q4)*100</f>
        <v>3.0747266182694659</v>
      </c>
      <c r="V10" s="7">
        <f t="shared" ref="V10" si="12">(SUM(S4:V4)-SUM(O4:R4))/SUM(O4:R4)*100</f>
        <v>3.4704837787849372</v>
      </c>
      <c r="W10" s="7">
        <f t="shared" ref="W10" si="13">(SUM(T4:W4)-SUM(P4:S4))/SUM(P4:S4)*100</f>
        <v>4.5189634668394696</v>
      </c>
      <c r="X10" s="7">
        <f t="shared" ref="X10" si="14">(SUM(U4:X4)-SUM(Q4:T4))/SUM(Q4:T4)*100</f>
        <v>5.2822628909051561</v>
      </c>
      <c r="Y10" s="7">
        <f t="shared" ref="Y10" si="15">(SUM(V4:Y4)-SUM(R4:U4))/SUM(R4:U4)*100</f>
        <v>5.1836368597333724</v>
      </c>
      <c r="Z10" s="7">
        <f t="shared" ref="Z10" si="16">(SUM(W4:Z4)-SUM(S4:V4))/SUM(S4:V4)*100</f>
        <v>4.4549442243425643</v>
      </c>
      <c r="AA10" s="7">
        <f t="shared" ref="AA10" si="17">(SUM(X4:AA4)-SUM(T4:W4))/SUM(T4:W4)*100</f>
        <v>3.8207900675408268</v>
      </c>
      <c r="AB10" s="7">
        <f t="shared" ref="AB10" si="18">(SUM(Y4:AB4)-SUM(U4:X4))/SUM(U4:X4)*100</f>
        <v>3.8326021013905165</v>
      </c>
      <c r="AC10" s="7">
        <f t="shared" ref="AC10" si="19">(SUM(Z4:AC4)-SUM(V4:Y4))/SUM(V4:Y4)*100</f>
        <v>4.3582366733715459</v>
      </c>
      <c r="AD10" s="7">
        <f t="shared" ref="AD10" si="20">(SUM(AA4:AD4)-SUM(W4:Z4))/SUM(W4:Z4)*100</f>
        <v>5.1766210306134042</v>
      </c>
      <c r="AE10" s="7">
        <f t="shared" ref="AE10" si="21">(SUM(AB4:AE4)-SUM(X4:AA4))/SUM(X4:AA4)*100</f>
        <v>5.4231937590165895</v>
      </c>
      <c r="AF10" s="7">
        <f t="shared" ref="AF10" si="22">(SUM(AC4:AF4)-SUM(Y4:AB4))/SUM(Y4:AB4)*100</f>
        <v>5.4175018431664359</v>
      </c>
      <c r="AG10" s="7">
        <f t="shared" ref="AG10" si="23">(SUM(AD4:AG4)-SUM(Z4:AC4))/SUM(Z4:AC4)*100</f>
        <v>5.2449976594254615</v>
      </c>
      <c r="AH10" s="7">
        <f t="shared" ref="AH10" si="24">(SUM(AE4:AH4)-SUM(AA4:AD4))/SUM(AA4:AD4)*100</f>
        <v>4.9589416661442387</v>
      </c>
      <c r="AI10" s="7">
        <f t="shared" ref="AI10" si="25">(SUM(AF4:AI4)-SUM(AB4:AE4))/SUM(AB4:AE4)*100</f>
        <v>5.223217258953345</v>
      </c>
      <c r="AJ10" s="7">
        <f t="shared" ref="AJ10" si="26">(SUM(AG4:AJ4)-SUM(AC4:AF4))/SUM(AC4:AF4)*100</f>
        <v>5.3421388151716922</v>
      </c>
      <c r="AK10" s="7">
        <f t="shared" ref="AK10" si="27">(SUM(AH4:AK4)-SUM(AD4:AG4))/SUM(AD4:AG4)*100</f>
        <v>5.8419787381008099</v>
      </c>
      <c r="AL10" s="7">
        <f t="shared" ref="AL10" si="28">(SUM(AI4:AL4)-SUM(AE4:AH4))/SUM(AE4:AH4)*100</f>
        <v>6.0193844258643363</v>
      </c>
      <c r="AM10" s="7">
        <f t="shared" ref="AM10" si="29">(SUM(AJ4:AM4)-SUM(AF4:AI4))/SUM(AF4:AI4)*100</f>
        <v>5.5947585730535669</v>
      </c>
      <c r="AN10" s="7">
        <f t="shared" ref="AN10" si="30">(SUM(AK4:AN4)-SUM(AG4:AJ4))/SUM(AG4:AJ4)*100</f>
        <v>5.1363362023318038</v>
      </c>
      <c r="AO10" s="7">
        <f t="shared" ref="AO10" si="31">(SUM(AL4:AO4)-SUM(AH4:AK4))/SUM(AH4:AK4)*100</f>
        <v>3.0043972613247467</v>
      </c>
      <c r="AP10" s="7">
        <f t="shared" ref="AP10" si="32">(SUM(AM4:AP4)-SUM(AI4:AL4))/SUM(AI4:AL4)*100</f>
        <v>1.0468924074370891</v>
      </c>
      <c r="AQ10" s="7">
        <f t="shared" ref="AQ10" si="33">(SUM(AN4:AQ4)-SUM(AJ4:AM4))/SUM(AJ4:AM4)*100</f>
        <v>-0.30679200840879239</v>
      </c>
      <c r="AR10" s="7">
        <f t="shared" ref="AR10" si="34">(SUM(AO4:AR4)-SUM(AK4:AN4))/SUM(AK4:AN4)*100</f>
        <v>-0.92712963101697421</v>
      </c>
      <c r="AS10" s="7">
        <f t="shared" ref="AS10" si="35">(SUM(AP4:AS4)-SUM(AL4:AO4))/SUM(AL4:AO4)*100</f>
        <v>0.81986175641795778</v>
      </c>
      <c r="AT10" s="7">
        <f t="shared" ref="AT10" si="36">(SUM(AQ4:AT4)-SUM(AM4:AP4))/SUM(AM4:AP4)*100</f>
        <v>3.2510889212591638</v>
      </c>
      <c r="AU10" s="7">
        <f t="shared" ref="AU10" si="37">(SUM(AR4:AU4)-SUM(AN4:AQ4))/SUM(AN4:AQ4)*100</f>
        <v>5.5481448333828665</v>
      </c>
      <c r="AV10" s="7">
        <f t="shared" ref="AV10" si="38">(SUM(AS4:AV4)-SUM(AO4:AR4))/SUM(AO4:AR4)*100</f>
        <v>6.7292897353111449</v>
      </c>
      <c r="AW10" s="7">
        <f t="shared" ref="AW10" si="39">(SUM(AT4:AW4)-SUM(AP4:AS4))/SUM(AP4:AS4)*100</f>
        <v>6.9816613885307275</v>
      </c>
      <c r="AX10" s="7">
        <f t="shared" ref="AX10" si="40">(SUM(AU4:AX4)-SUM(AQ4:AT4))/SUM(AQ4:AT4)*100</f>
        <v>6.3303085705488993</v>
      </c>
      <c r="AY10" s="7">
        <f t="shared" ref="AY10" si="41">(SUM(AV4:AY4)-SUM(AR4:AU4))/SUM(AR4:AU4)*100</f>
        <v>5.3137651755742006</v>
      </c>
      <c r="AZ10" s="7">
        <f t="shared" ref="AZ10" si="42">(SUM(AW4:AZ4)-SUM(AS4:AV4))/SUM(AS4:AV4)*100</f>
        <v>4.6764895206273716</v>
      </c>
      <c r="BA10" s="7">
        <f t="shared" ref="BA10" si="43">(SUM(AX4:BA4)-SUM(AT4:AW4))/SUM(AT4:AW4)*100</f>
        <v>3.6880320602952112</v>
      </c>
      <c r="BB10" s="7">
        <f t="shared" ref="BB10" si="44">(SUM(AY4:BB4)-SUM(AU4:AX4))/SUM(AU4:AX4)*100</f>
        <v>3.0583384483900513</v>
      </c>
      <c r="BC10" s="7">
        <f t="shared" ref="BC10" si="45">(SUM(AZ4:BC4)-SUM(AV4:AY4))/SUM(AV4:AY4)*100</f>
        <v>2.7282802736865341</v>
      </c>
      <c r="BD10" s="7">
        <f t="shared" ref="BD10" si="46">(SUM(BA4:BD4)-SUM(AW4:AZ4))/SUM(AW4:AZ4)*100</f>
        <v>2.5356669110278776</v>
      </c>
      <c r="BE10" s="7">
        <f t="shared" ref="BE10" si="47">(SUM(BB4:BE4)-SUM(AX4:BA4))/SUM(AX4:BA4)*100</f>
        <v>2.5476655056823918</v>
      </c>
      <c r="BF10" s="7">
        <f t="shared" ref="BF10" si="48">(SUM(BC4:BF4)-SUM(AY4:BB4))/SUM(AY4:BB4)*100</f>
        <v>2.5174348169895722</v>
      </c>
      <c r="BG10" s="7">
        <f t="shared" ref="BG10" si="49">(SUM(BD4:BG4)-SUM(AZ4:BC4))/SUM(AZ4:BC4)*100</f>
        <v>2.6726628789898537</v>
      </c>
      <c r="BH10" s="7">
        <f t="shared" ref="BH10" si="50">(SUM(BE4:BH4)-SUM(BA4:BD4))/SUM(BA4:BD4)*100</f>
        <v>2.9750074291922224</v>
      </c>
      <c r="BI10" s="7">
        <f t="shared" ref="BI10" si="51">(SUM(BF4:BI4)-SUM(BB4:BE4))/SUM(BB4:BE4)*100</f>
        <v>3.2914019170612407</v>
      </c>
      <c r="BJ10" s="7">
        <f t="shared" ref="BJ10" si="52">(SUM(BG4:BJ4)-SUM(BC4:BF4))/SUM(BC4:BF4)*100</f>
        <v>3.640699518341004</v>
      </c>
      <c r="BK10" s="7">
        <f t="shared" ref="BK10" si="53">(SUM(BH4:BK4)-SUM(BD4:BG4))/SUM(BD4:BG4)*100</f>
        <v>3.7624982974109424</v>
      </c>
      <c r="BL10" s="7">
        <f t="shared" ref="BL10" si="54">(SUM(BI4:BL4)-SUM(BE4:BH4))/SUM(BE4:BH4)*100</f>
        <v>3.5485022011105491</v>
      </c>
      <c r="BM10" s="7">
        <f t="shared" ref="BM10" si="55">(SUM(BJ4:BM4)-SUM(BF4:BI4))/SUM(BF4:BI4)*100</f>
        <v>3.2146800112567915</v>
      </c>
      <c r="BN10" s="7">
        <f t="shared" ref="BN10" si="56">(SUM(BK4:BN4)-SUM(BG4:BJ4))/SUM(BG4:BJ4)*100</f>
        <v>2.916187954466829</v>
      </c>
      <c r="BO10" s="7">
        <f t="shared" ref="BO10" si="57">(SUM(BL4:BO4)-SUM(BH4:BK4))/SUM(BH4:BK4)*100</f>
        <v>2.5315484264172685</v>
      </c>
      <c r="BP10" s="7">
        <f t="shared" ref="BP10" si="58">(SUM(BM4:BP4)-SUM(BI4:BL4))/SUM(BI4:BL4)*100</f>
        <v>2.6523101543779801</v>
      </c>
      <c r="BQ10" s="7">
        <f t="shared" ref="BQ10" si="59">(SUM(BN4:BQ4)-SUM(BJ4:BM4))/SUM(BJ4:BM4)*100</f>
        <v>2.9202813238440082</v>
      </c>
      <c r="BR10" s="7">
        <f t="shared" ref="BR10" si="60">(SUM(BO4:BR4)-SUM(BK4:BN4))/SUM(BK4:BN4)*100</f>
        <v>3.0383562997250677</v>
      </c>
      <c r="BS10" s="7">
        <f t="shared" ref="BS10" si="61">(SUM(BP4:BS4)-SUM(BL4:BO4))/SUM(BL4:BO4)*100</f>
        <v>3.499694664227663</v>
      </c>
      <c r="BT10" s="7">
        <f t="shared" ref="BT10" si="62">(SUM(BQ4:BT4)-SUM(BM4:BP4))/SUM(BM4:BP4)*100</f>
        <v>3.3655426845952965</v>
      </c>
      <c r="BU10" s="7">
        <f t="shared" ref="BU10" si="63">(SUM(BR4:BU4)-SUM(BN4:BQ4))/SUM(BN4:BQ4)*100</f>
        <v>3.1715330964120021</v>
      </c>
      <c r="BV10" s="7">
        <f t="shared" ref="BV10" si="64">(SUM(BS4:BV4)-SUM(BO4:BR4))/SUM(BO4:BR4)*100</f>
        <v>3.2925064865923495</v>
      </c>
      <c r="BW10" s="7">
        <f t="shared" ref="BW10" si="65">(SUM(BT4:BW4)-SUM(BP4:BS4))/SUM(BP4:BS4)*100</f>
        <v>3.0720643093074718</v>
      </c>
      <c r="BX10" s="7">
        <f t="shared" ref="BX10" si="66">(SUM(BU4:BX4)-SUM(BQ4:BT4))/SUM(BQ4:BT4)*100</f>
        <v>3.3842012019424876</v>
      </c>
      <c r="BY10" s="7">
        <f t="shared" ref="BY10" si="67">(SUM(BV4:BY4)-SUM(BR4:BU4))/SUM(BR4:BU4)*100</f>
        <v>3.4331970311465536</v>
      </c>
      <c r="BZ10" s="7">
        <f t="shared" ref="BZ10" si="68">(SUM(BW4:BZ4)-SUM(BS4:BV4))/SUM(BS4:BV4)*100</f>
        <v>3.3827538301446385</v>
      </c>
      <c r="CA10" s="7">
        <f t="shared" ref="CA10" si="69">(SUM(BX4:CA4)-SUM(BT4:BW4))/SUM(BT4:BW4)*100</f>
        <v>3.4746771148971649</v>
      </c>
      <c r="CB10" s="7">
        <f t="shared" ref="CB10" si="70">(SUM(BY4:CB4)-SUM(BU4:BX4))/SUM(BU4:BX4)*100</f>
        <v>3.0938496649756142</v>
      </c>
      <c r="CC10" s="7">
        <f t="shared" ref="CC10" si="71">(SUM(BZ4:CC4)-SUM(BV4:BY4))/SUM(BV4:BY4)*100</f>
        <v>3.1761053353458935</v>
      </c>
      <c r="CD10" s="7">
        <f t="shared" ref="CD10" si="72">(SUM(CA4:CD4)-SUM(BW4:BZ4))/SUM(BW4:BZ4)*100</f>
        <v>2.8154766194403011</v>
      </c>
      <c r="CE10" s="7">
        <f t="shared" ref="CE10" si="73">(SUM(CB4:CE4)-SUM(BX4:CA4))/SUM(BX4:CA4)*100</f>
        <v>2.5848543518957099</v>
      </c>
      <c r="CF10" s="7">
        <f t="shared" ref="CF10" si="74">(SUM(CC4:CF4)-SUM(BY4:CB4))/SUM(BY4:CB4)*100</f>
        <v>2.4919788161322858</v>
      </c>
      <c r="CG10" s="7">
        <f t="shared" ref="CG10" si="75">(SUM(CD4:CG4)-SUM(BZ4:CC4))/SUM(BZ4:CC4)*100</f>
        <v>2.3138071557393651</v>
      </c>
      <c r="CH10" s="7">
        <f t="shared" ref="CH10" si="76">(SUM(CE4:CH4)-SUM(CA4:CD4))/SUM(CA4:CD4)*100</f>
        <v>2.1293099662740449</v>
      </c>
      <c r="CI10" s="7">
        <f t="shared" ref="CI10" si="77">(SUM(CF4:CI4)-SUM(CB4:CE4))/SUM(CB4:CE4)*100</f>
        <v>0.7856173537309854</v>
      </c>
      <c r="CJ10" s="7">
        <f t="shared" ref="CJ10" si="78">(SUM(CG4:CJ4)-SUM(CC4:CF4))/SUM(CC4:CF4)*100</f>
        <v>2.2616398831310291E-2</v>
      </c>
      <c r="CK10" s="7">
        <f>(SUM(CH4:CK4)-SUM(CD4:CG4))/SUM(CD4:CG4)*100</f>
        <v>-0.70024231754210298</v>
      </c>
      <c r="CL10" s="7">
        <f t="shared" ref="CL10" si="79">(SUM(CI4:CL4)-SUM(CE4:CH4))/SUM(CE4:CH4)*100</f>
        <v>-0.36767450110386107</v>
      </c>
      <c r="CM10" s="7">
        <f t="shared" ref="CM10" si="80">(SUM(CJ4:CM4)-SUM(CF4:CI4))/SUM(CF4:CI4)*100</f>
        <v>2.0178445616313381</v>
      </c>
      <c r="CN10" s="7">
        <f t="shared" ref="CN10" si="81">(SUM(CK4:CN4)-SUM(CG4:CJ4))/SUM(CG4:CJ4)*100</f>
        <v>3.3836152066085465</v>
      </c>
      <c r="CO10" s="7">
        <f t="shared" ref="CO10" si="82">(SUM(CL4:CO4)-SUM(CH4:CK4))/SUM(CH4:CK4)*100</f>
        <v>4.6129679545428779</v>
      </c>
      <c r="CP10" s="7">
        <f t="shared" ref="CP10" si="83">(SUM(CM4:CP4)-SUM(CI4:CL4))/SUM(CI4:CL4)*100</f>
        <v>4.8104215437682125</v>
      </c>
      <c r="CQ10" s="7">
        <f t="shared" ref="CQ10" si="84">(SUM(CN4:CQ4)-SUM(CJ4:CM4))/SUM(CJ4:CM4)*100</f>
        <v>3.8111058626959937</v>
      </c>
      <c r="CR10" s="7">
        <f t="shared" ref="CR10" si="85">(SUM(CO4:CR4)-SUM(CK4:CN4))/SUM(CK4:CN4)*100</f>
        <v>3.5122319569145035</v>
      </c>
      <c r="CS10" s="7">
        <f t="shared" ref="CS10" si="86">(SUM(CP4:CS4)-SUM(CL4:CO4))/SUM(CL4:CO4)*100</f>
        <v>2.7275599233202126</v>
      </c>
      <c r="CT10" s="7">
        <f t="shared" ref="CT10" si="87">(SUM(CQ4:CT4)-SUM(CM4:CP4))/SUM(CM4:CP4)*100</f>
        <v>2.2306080182104351</v>
      </c>
      <c r="CU10" s="7">
        <f t="shared" ref="CU10" si="88">(SUM(CR4:CU4)-SUM(CN4:CQ4))/SUM(CN4:CQ4)*100</f>
        <v>1.8120932598008195</v>
      </c>
      <c r="CV10" s="7">
        <f t="shared" ref="CV10" si="89">(SUM(CS4:CV4)-SUM(CO4:CR4))/SUM(CO4:CR4)*100</f>
        <v>1.3477743320573767</v>
      </c>
      <c r="CW10" s="7">
        <f t="shared" ref="CW10" si="90">(SUM(CT4:CW4)-SUM(CP4:CS4))/SUM(CP4:CS4)*100</f>
        <v>1.583023786538269</v>
      </c>
      <c r="CX10" s="7">
        <f t="shared" ref="CX10" si="91">(SUM(CU4:CX4)-SUM(CQ4:CT4))/SUM(CQ4:CT4)*100</f>
        <v>2.0327036089248374</v>
      </c>
      <c r="CY10" s="7">
        <f t="shared" ref="CY10" si="92">(SUM(CV4:CY4)-SUM(CR4:CU4))/SUM(CR4:CU4)*100</f>
        <v>2.2973876003689258</v>
      </c>
      <c r="CZ10" s="7">
        <f t="shared" ref="CZ10" si="93">(SUM(CW4:CZ4)-SUM(CS4:CV4))/SUM(CS4:CV4)*100</f>
        <v>2.3118447242977052</v>
      </c>
      <c r="DA10" s="7">
        <f t="shared" ref="DA10" si="94">(SUM(CX4:DA4)-SUM(CT4:CW4))/SUM(CT4:CW4)*100</f>
        <v>2.0036020291763297</v>
      </c>
      <c r="DB10" s="7">
        <f t="shared" ref="DB10" si="95">(SUM(CY4:DB4)-SUM(CU4:CX4))/SUM(CU4:CX4)*100</f>
        <v>1.1393557376897896</v>
      </c>
      <c r="DC10" s="7">
        <f t="shared" ref="DC10" si="96">(SUM(CZ4:DC4)-SUM(CV4:CY4))/SUM(CV4:CY4)*100</f>
        <v>0.7409584468349445</v>
      </c>
    </row>
    <row r="11" spans="1:107" x14ac:dyDescent="0.3">
      <c r="I11" s="7">
        <f t="shared" ref="I11" si="97">(SUM(F8:I8)-SUM(B8:E8))/SUM(B8:E8)*100</f>
        <v>6.8425653758293441</v>
      </c>
      <c r="J11" s="7">
        <f t="shared" ref="J11" si="98">(SUM(G8:J8)-SUM(C8:F8))/SUM(C8:F8)*100</f>
        <v>5.5198776078380769</v>
      </c>
      <c r="K11" s="7">
        <f t="shared" ref="K11" si="99">(SUM(H8:K8)-SUM(D8:G8))/SUM(D8:G8)*100</f>
        <v>4.9342456827365364</v>
      </c>
      <c r="L11" s="7">
        <f t="shared" ref="L11" si="100">(SUM(I8:L8)-SUM(E8:H8))/SUM(E8:H8)*100</f>
        <v>3.5167057433442137</v>
      </c>
      <c r="M11" s="7">
        <f t="shared" ref="M11" si="101">(SUM(J8:M8)-SUM(F8:I8))/SUM(F8:I8)*100</f>
        <v>3.8618428207987332</v>
      </c>
      <c r="N11" s="7">
        <f t="shared" ref="N11" si="102">(SUM(K8:N8)-SUM(G8:J8))/SUM(G8:J8)*100</f>
        <v>4.913688808425646</v>
      </c>
      <c r="O11" s="7">
        <f t="shared" ref="O11" si="103">(SUM(L8:O8)-SUM(H8:K8))/SUM(H8:K8)*100</f>
        <v>5.9595995038369187</v>
      </c>
      <c r="P11" s="7">
        <f t="shared" ref="P11" si="104">(SUM(M8:P8)-SUM(I8:L8))/SUM(I8:L8)*100</f>
        <v>7.8928071223019689</v>
      </c>
      <c r="Q11" s="7">
        <f t="shared" ref="Q11" si="105">(SUM(N8:Q8)-SUM(J8:M8))/SUM(J8:M8)*100</f>
        <v>8.7647522017669335</v>
      </c>
      <c r="R11" s="7">
        <f t="shared" ref="R11" si="106">(SUM(O8:R8)-SUM(K8:N8))/SUM(K8:N8)*100</f>
        <v>7.2752957151310564</v>
      </c>
      <c r="S11" s="7">
        <f t="shared" ref="S11" si="107">(SUM(P8:S8)-SUM(L8:O8))/SUM(L8:O8)*100</f>
        <v>5.6495475172855336</v>
      </c>
      <c r="T11" s="7">
        <f t="shared" ref="T11" si="108">(SUM(Q8:T8)-SUM(M8:P8))/SUM(M8:P8)*100</f>
        <v>3.5911586757382117</v>
      </c>
      <c r="U11" s="7">
        <f t="shared" ref="U11" si="109">(SUM(R8:U8)-SUM(N8:Q8))/SUM(N8:Q8)*100</f>
        <v>2.6586651339722716</v>
      </c>
      <c r="V11" s="7">
        <f t="shared" ref="V11" si="110">(SUM(S8:V8)-SUM(O8:R8))/SUM(O8:R8)*100</f>
        <v>3.3249172613452149</v>
      </c>
      <c r="W11" s="7">
        <f t="shared" ref="W11" si="111">(SUM(T8:W8)-SUM(P8:S8))/SUM(P8:S8)*100</f>
        <v>4.1826579623755196</v>
      </c>
      <c r="X11" s="7">
        <f t="shared" ref="X11" si="112">(SUM(U8:X8)-SUM(Q8:T8))/SUM(Q8:T8)*100</f>
        <v>4.7044339069358028</v>
      </c>
      <c r="Y11" s="7">
        <f t="shared" ref="Y11" si="113">(SUM(V8:Y8)-SUM(R8:U8))/SUM(R8:U8)*100</f>
        <v>4.1982462139170611</v>
      </c>
      <c r="Z11" s="7">
        <f t="shared" ref="Z11" si="114">(SUM(W8:Z8)-SUM(S8:V8))/SUM(S8:V8)*100</f>
        <v>3.5099420502518868</v>
      </c>
      <c r="AA11" s="7">
        <f t="shared" ref="AA11" si="115">(SUM(X8:AA8)-SUM(T8:W8))/SUM(T8:W8)*100</f>
        <v>2.931939216211612</v>
      </c>
      <c r="AB11" s="7">
        <f t="shared" ref="AB11" si="116">(SUM(Y8:AB8)-SUM(U8:X8))/SUM(U8:X8)*100</f>
        <v>2.7225157891555876</v>
      </c>
      <c r="AC11" s="7">
        <f t="shared" ref="AC11" si="117">(SUM(Z8:AC8)-SUM(V8:Y8))/SUM(V8:Y8)*100</f>
        <v>2.6932808753643194</v>
      </c>
      <c r="AD11" s="7">
        <f t="shared" ref="AD11" si="118">(SUM(AA8:AD8)-SUM(W8:Z8))/SUM(W8:Z8)*100</f>
        <v>2.7820308404161267</v>
      </c>
      <c r="AE11" s="7">
        <f t="shared" ref="AE11" si="119">(SUM(AB8:AE8)-SUM(X8:AA8))/SUM(X8:AA8)*100</f>
        <v>2.7871639969428683</v>
      </c>
      <c r="AF11" s="7">
        <f t="shared" ref="AF11" si="120">(SUM(AC8:AF8)-SUM(Y8:AB8))/SUM(Y8:AB8)*100</f>
        <v>3.2648729995946577</v>
      </c>
      <c r="AG11" s="7">
        <f t="shared" ref="AG11" si="121">(SUM(AD8:AG8)-SUM(Z8:AC8))/SUM(Z8:AC8)*100</f>
        <v>3.9503202591454958</v>
      </c>
      <c r="AH11" s="7">
        <f t="shared" ref="AH11" si="122">(SUM(AE8:AH8)-SUM(AA8:AD8))/SUM(AA8:AD8)*100</f>
        <v>4.4722078964200396</v>
      </c>
      <c r="AI11" s="7">
        <f t="shared" ref="AI11" si="123">(SUM(AF8:AI8)-SUM(AB8:AE8))/SUM(AB8:AE8)*100</f>
        <v>5.2475723864968273</v>
      </c>
      <c r="AJ11" s="7">
        <f t="shared" ref="AJ11" si="124">(SUM(AG8:AJ8)-SUM(AC8:AF8))/SUM(AC8:AF8)*100</f>
        <v>5.6384284380311138</v>
      </c>
      <c r="AK11" s="7">
        <f t="shared" ref="AK11" si="125">(SUM(AH8:AK8)-SUM(AD8:AG8))/SUM(AD8:AG8)*100</f>
        <v>5.5616937577297003</v>
      </c>
      <c r="AL11" s="7">
        <f t="shared" ref="AL11" si="126">(SUM(AI8:AL8)-SUM(AE8:AH8))/SUM(AE8:AH8)*100</f>
        <v>5.4182077380819225</v>
      </c>
      <c r="AM11" s="7">
        <f t="shared" ref="AM11" si="127">(SUM(AJ8:AM8)-SUM(AF8:AI8))/SUM(AF8:AI8)*100</f>
        <v>4.3402153162962271</v>
      </c>
      <c r="AN11" s="7">
        <f t="shared" ref="AN11" si="128">(SUM(AK8:AN8)-SUM(AG8:AJ8))/SUM(AG8:AJ8)*100</f>
        <v>2.5287410545112752</v>
      </c>
      <c r="AO11" s="7">
        <f t="shared" ref="AO11" si="129">(SUM(AL8:AO8)-SUM(AH8:AK8))/SUM(AH8:AK8)*100</f>
        <v>0.39632393420077006</v>
      </c>
      <c r="AP11" s="7">
        <f t="shared" ref="AP11" si="130">(SUM(AM8:AP8)-SUM(AI8:AL8))/SUM(AI8:AL8)*100</f>
        <v>-1.5284917888357394</v>
      </c>
      <c r="AQ11" s="7">
        <f t="shared" ref="AQ11" si="131">(SUM(AN8:AQ8)-SUM(AJ8:AM8))/SUM(AJ8:AM8)*100</f>
        <v>-1.4807972944638637</v>
      </c>
      <c r="AR11" s="7">
        <f t="shared" ref="AR11" si="132">(SUM(AO8:AR8)-SUM(AK8:AN8))/SUM(AK8:AN8)*100</f>
        <v>-0.18672230601414724</v>
      </c>
      <c r="AS11" s="7">
        <f t="shared" ref="AS11" si="133">(SUM(AP8:AS8)-SUM(AL8:AO8))/SUM(AL8:AO8)*100</f>
        <v>2.6018999442175583</v>
      </c>
      <c r="AT11" s="7">
        <f t="shared" ref="AT11" si="134">(SUM(AQ8:AT8)-SUM(AM8:AP8))/SUM(AM8:AP8)*100</f>
        <v>6.1118248418022771</v>
      </c>
      <c r="AU11" s="7">
        <f t="shared" ref="AU11" si="135">(SUM(AR8:AU8)-SUM(AN8:AQ8))/SUM(AN8:AQ8)*100</f>
        <v>7.4766713640523026</v>
      </c>
      <c r="AV11" s="7">
        <f t="shared" ref="AV11" si="136">(SUM(AS8:AV8)-SUM(AO8:AR8))/SUM(AO8:AR8)*100</f>
        <v>8.0569456044776686</v>
      </c>
      <c r="AW11" s="7">
        <f t="shared" ref="AW11" si="137">(SUM(AT8:AW8)-SUM(AP8:AS8))/SUM(AP8:AS8)*100</f>
        <v>7.4771563259664937</v>
      </c>
      <c r="AX11" s="7">
        <f t="shared" ref="AX11" si="138">(SUM(AU8:AX8)-SUM(AQ8:AT8))/SUM(AQ8:AT8)*100</f>
        <v>5.3381944170648739</v>
      </c>
      <c r="AY11" s="7">
        <f t="shared" ref="AY11" si="139">(SUM(AV8:AY8)-SUM(AR8:AU8))/SUM(AR8:AU8)*100</f>
        <v>3.8456891509168929</v>
      </c>
      <c r="AZ11" s="7">
        <f t="shared" ref="AZ11" si="140">(SUM(AW8:AZ8)-SUM(AS8:AV8))/SUM(AS8:AV8)*100</f>
        <v>2.5305753714959187</v>
      </c>
      <c r="BA11" s="7">
        <f t="shared" ref="BA11" si="141">(SUM(AX8:BA8)-SUM(AT8:AW8))/SUM(AT8:AW8)*100</f>
        <v>1.6918701961107574</v>
      </c>
      <c r="BB11" s="7">
        <f t="shared" ref="BB11" si="142">(SUM(AY8:BB8)-SUM(AU8:AX8))/SUM(AU8:AX8)*100</f>
        <v>1.9795550703611948</v>
      </c>
      <c r="BC11" s="7">
        <f t="shared" ref="BC11" si="143">(SUM(AZ8:BC8)-SUM(AV8:AY8))/SUM(AV8:AY8)*100</f>
        <v>2.2985868426561402</v>
      </c>
      <c r="BD11" s="7">
        <f t="shared" ref="BD11" si="144">(SUM(BA8:BD8)-SUM(AW8:AZ8))/SUM(AW8:AZ8)*100</f>
        <v>2.7002916920102775</v>
      </c>
      <c r="BE11" s="7">
        <f t="shared" ref="BE11" si="145">(SUM(BB8:BE8)-SUM(AX8:BA8))/SUM(AX8:BA8)*100</f>
        <v>3.0485225475994326</v>
      </c>
      <c r="BF11" s="7">
        <f t="shared" ref="BF11" si="146">(SUM(BC8:BF8)-SUM(AY8:BB8))/SUM(AY8:BB8)*100</f>
        <v>2.9827462337065174</v>
      </c>
      <c r="BG11" s="7">
        <f t="shared" ref="BG11" si="147">(SUM(BD8:BG8)-SUM(AZ8:BC8))/SUM(AZ8:BC8)*100</f>
        <v>3.4104543041667172</v>
      </c>
      <c r="BH11" s="7">
        <f t="shared" ref="BH11" si="148">(SUM(BE8:BH8)-SUM(BA8:BD8))/SUM(BA8:BD8)*100</f>
        <v>3.6594075915361395</v>
      </c>
      <c r="BI11" s="7">
        <f t="shared" ref="BI11" si="149">(SUM(BF8:BI8)-SUM(BB8:BE8))/SUM(BB8:BE8)*100</f>
        <v>3.9165676229985245</v>
      </c>
      <c r="BJ11" s="7">
        <f t="shared" ref="BJ11" si="150">(SUM(BG8:BJ8)-SUM(BC8:BF8))/SUM(BC8:BF8)*100</f>
        <v>4.1775709716156051</v>
      </c>
      <c r="BK11" s="7">
        <f t="shared" ref="BK11" si="151">(SUM(BH8:BK8)-SUM(BD8:BG8))/SUM(BD8:BG8)*100</f>
        <v>4.0545331776347222</v>
      </c>
      <c r="BL11" s="7">
        <f t="shared" ref="BL11" si="152">(SUM(BI8:BL8)-SUM(BE8:BH8))/SUM(BE8:BH8)*100</f>
        <v>3.6770922947502851</v>
      </c>
      <c r="BM11" s="7">
        <f t="shared" ref="BM11" si="153">(SUM(BJ8:BM8)-SUM(BF8:BI8))/SUM(BF8:BI8)*100</f>
        <v>3.4702487793503467</v>
      </c>
      <c r="BN11" s="7">
        <f t="shared" ref="BN11" si="154">(SUM(BK8:BN8)-SUM(BG8:BJ8))/SUM(BG8:BJ8)*100</f>
        <v>4.3860531458789298</v>
      </c>
      <c r="BO11" s="7">
        <f t="shared" ref="BO11" si="155">(SUM(BL8:BO8)-SUM(BH8:BK8))/SUM(BH8:BK8)*100</f>
        <v>4.7215061314300506</v>
      </c>
      <c r="BP11" s="7">
        <f t="shared" ref="BP11" si="156">(SUM(BM8:BP8)-SUM(BI8:BL8))/SUM(BI8:BL8)*100</f>
        <v>5.9140333328410541</v>
      </c>
      <c r="BQ11" s="7">
        <f t="shared" ref="BQ11" si="157">(SUM(BN8:BQ8)-SUM(BJ8:BM8))/SUM(BJ8:BM8)*100</f>
        <v>6.5392456766867877</v>
      </c>
      <c r="BR11" s="7">
        <f t="shared" ref="BR11" si="158">(SUM(BO8:BR8)-SUM(BK8:BN8))/SUM(BK8:BN8)*100</f>
        <v>5.825803549612572</v>
      </c>
      <c r="BS11" s="7">
        <f t="shared" ref="BS11" si="159">(SUM(BP8:BS8)-SUM(BL8:BO8))/SUM(BL8:BO8)*100</f>
        <v>6.0188107159628181</v>
      </c>
      <c r="BT11" s="7">
        <f t="shared" ref="BT11" si="160">(SUM(BQ8:BT8)-SUM(BM8:BP8))/SUM(BM8:BP8)*100</f>
        <v>5.1617022449439798</v>
      </c>
      <c r="BU11" s="7">
        <f t="shared" ref="BU11" si="161">(SUM(BR8:BU8)-SUM(BN8:BQ8))/SUM(BN8:BQ8)*100</f>
        <v>4.6133234863750365</v>
      </c>
      <c r="BV11" s="7">
        <f t="shared" ref="BV11" si="162">(SUM(BS8:BV8)-SUM(BO8:BR8))/SUM(BO8:BR8)*100</f>
        <v>4.148143388012616</v>
      </c>
      <c r="BW11" s="7">
        <f t="shared" ref="BW11" si="163">(SUM(BT8:BW8)-SUM(BP8:BS8))/SUM(BP8:BS8)*100</f>
        <v>3.1723481519568546</v>
      </c>
      <c r="BX11" s="7">
        <f t="shared" ref="BX11" si="164">(SUM(BU8:BX8)-SUM(BQ8:BT8))/SUM(BQ8:BT8)*100</f>
        <v>3.4554765777149612</v>
      </c>
      <c r="BY11" s="7">
        <f t="shared" ref="BY11" si="165">(SUM(BV8:BY8)-SUM(BR8:BU8))/SUM(BR8:BU8)*100</f>
        <v>3.2313748171736689</v>
      </c>
      <c r="BZ11" s="7">
        <f t="shared" ref="BZ11" si="166">(SUM(BW8:BZ8)-SUM(BS8:BV8))/SUM(BS8:BV8)*100</f>
        <v>3.3548408572117596</v>
      </c>
      <c r="CA11" s="7">
        <f t="shared" ref="CA11" si="167">(SUM(BX8:CA8)-SUM(BT8:BW8))/SUM(BT8:BW8)*100</f>
        <v>3.4987417419718523</v>
      </c>
      <c r="CB11" s="7">
        <f t="shared" ref="CB11" si="168">(SUM(BY8:CB8)-SUM(BU8:BX8))/SUM(BU8:BX8)*100</f>
        <v>2.3385263071804614</v>
      </c>
      <c r="CC11" s="7">
        <f t="shared" ref="CC11" si="169">(SUM(BZ8:CC8)-SUM(BV8:BY8))/SUM(BV8:BY8)*100</f>
        <v>1.9511433124385684</v>
      </c>
      <c r="CD11" s="7">
        <f t="shared" ref="CD11" si="170">(SUM(CA8:CD8)-SUM(BW8:BZ8))/SUM(BW8:BZ8)*100</f>
        <v>1.1092816136619223</v>
      </c>
      <c r="CE11" s="7">
        <f t="shared" ref="CE11" si="171">(SUM(CB8:CE8)-SUM(BX8:CA8))/SUM(BX8:CA8)*100</f>
        <v>0.54817027516006223</v>
      </c>
      <c r="CF11" s="7">
        <f t="shared" ref="CF11" si="172">(SUM(CC8:CF8)-SUM(BY8:CB8))/SUM(BY8:CB8)*100</f>
        <v>0.65614604422146583</v>
      </c>
      <c r="CG11" s="7">
        <f t="shared" ref="CG11" si="173">(SUM(CD8:CG8)-SUM(BZ8:CC8))/SUM(BZ8:CC8)*100</f>
        <v>0.64230001468579634</v>
      </c>
      <c r="CH11" s="7">
        <f t="shared" ref="CH11" si="174">(SUM(CE8:CH8)-SUM(CA8:CD8))/SUM(CA8:CD8)*100</f>
        <v>0.74637924926426957</v>
      </c>
      <c r="CI11" s="7">
        <f t="shared" ref="CI11" si="175">(SUM(CF8:CI8)-SUM(CB8:CE8))/SUM(CB8:CE8)*100</f>
        <v>0.21347729489425232</v>
      </c>
      <c r="CJ11" s="7">
        <f t="shared" ref="CJ11" si="176">(SUM(CG8:CJ8)-SUM(CC8:CF8))/SUM(CC8:CF8)*100</f>
        <v>3.4876071819529147E-2</v>
      </c>
      <c r="CK11" s="7">
        <f t="shared" ref="CK11" si="177">(SUM(CH8:CK8)-SUM(CD8:CG8))/SUM(CD8:CG8)*100</f>
        <v>0.14732982782406476</v>
      </c>
      <c r="CL11" s="7">
        <f t="shared" ref="CL11" si="178">(SUM(CI8:CL8)-SUM(CE8:CH8))/SUM(CE8:CH8)*100</f>
        <v>0.92167864240500996</v>
      </c>
      <c r="CM11" s="7">
        <f t="shared" ref="CM11" si="179">(SUM(CJ8:CM8)-SUM(CF8:CI8))/SUM(CF8:CI8)*100</f>
        <v>3.1098986919570843</v>
      </c>
      <c r="CN11" s="7">
        <f t="shared" ref="CN11" si="180">(SUM(CK8:CN8)-SUM(CG8:CJ8))/SUM(CG8:CJ8)*100</f>
        <v>3.8480971001587365</v>
      </c>
      <c r="CO11" s="7">
        <f t="shared" ref="CO11" si="181">(SUM(CL8:CO8)-SUM(CH8:CK8))/SUM(CH8:CK8)*100</f>
        <v>3.8038889854160054</v>
      </c>
      <c r="CP11" s="7">
        <f t="shared" ref="CP11" si="182">(SUM(CM8:CP8)-SUM(CI8:CL8))/SUM(CI8:CL8)*100</f>
        <v>3.0011837396286452</v>
      </c>
      <c r="CQ11" s="7">
        <f t="shared" ref="CQ11" si="183">(SUM(CN8:CQ8)-SUM(CJ8:CM8))/SUM(CJ8:CM8)*100</f>
        <v>0.92638665548066612</v>
      </c>
      <c r="CR11" s="7">
        <f t="shared" ref="CR11" si="184">(SUM(CO8:CR8)-SUM(CK8:CN8))/SUM(CK8:CN8)*100</f>
        <v>8.0551431284992217E-2</v>
      </c>
      <c r="CS11" s="7">
        <f t="shared" ref="CS11" si="185">(SUM(CP8:CS8)-SUM(CL8:CO8))/SUM(CL8:CO8)*100</f>
        <v>-0.52215127811947559</v>
      </c>
      <c r="CT11" s="7">
        <f t="shared" ref="CT11" si="186">(SUM(CQ8:CT8)-SUM(CM8:CP8))/SUM(CM8:CP8)*100</f>
        <v>-0.76569433446930613</v>
      </c>
      <c r="CU11" s="7">
        <f t="shared" ref="CU11" si="187">(SUM(CR8:CU8)-SUM(CN8:CQ8))/SUM(CN8:CQ8)*100</f>
        <v>-0.40048624858454235</v>
      </c>
      <c r="CV11" s="7">
        <f t="shared" ref="CV11" si="188">(SUM(CS8:CV8)-SUM(CO8:CR8))/SUM(CO8:CR8)*100</f>
        <v>0.62272460056461088</v>
      </c>
      <c r="CW11" s="7">
        <f t="shared" ref="CW11" si="189">(SUM(CT8:CW8)-SUM(CP8:CS8))/SUM(CP8:CS8)*100</f>
        <v>2.0284423436528587</v>
      </c>
      <c r="CX11" s="7">
        <f t="shared" ref="CX11" si="190">(SUM(CU8:CX8)-SUM(CQ8:CT8))/SUM(CQ8:CT8)*100</f>
        <v>3.5868382269081027</v>
      </c>
      <c r="CY11" s="7">
        <f t="shared" ref="CY11" si="191">(SUM(CV8:CY8)-SUM(CR8:CU8))/SUM(CR8:CU8)*100</f>
        <v>4.779011720785201</v>
      </c>
      <c r="CZ11" s="7">
        <f t="shared" ref="CZ11" si="192">(SUM(CW8:CZ8)-SUM(CS8:CV8))/SUM(CS8:CV8)*100</f>
        <v>4.5769196578204747</v>
      </c>
      <c r="DA11" s="7">
        <f t="shared" ref="DA11" si="193">(SUM(CX8:DA8)-SUM(CT8:CW8))/SUM(CT8:CW8)*100</f>
        <v>3.9340857170872159</v>
      </c>
      <c r="DB11" s="7">
        <f t="shared" ref="DB11" si="194">(SUM(CY8:DB8)-SUM(CU8:CX8))/SUM(CU8:CX8)*100</f>
        <v>2.6696815374018428</v>
      </c>
      <c r="DC11" s="7">
        <f t="shared" ref="DC11" si="195">(SUM(CZ8:DC8)-SUM(CV8:CY8))/SUM(CV8:CY8)*100</f>
        <v>1.9864746282621863</v>
      </c>
    </row>
    <row r="12" spans="1:107" x14ac:dyDescent="0.3">
      <c r="B12">
        <v>14</v>
      </c>
      <c r="C12">
        <v>15</v>
      </c>
      <c r="D12">
        <v>16</v>
      </c>
      <c r="E12">
        <v>17</v>
      </c>
      <c r="F12">
        <v>18</v>
      </c>
      <c r="G12">
        <v>19</v>
      </c>
      <c r="H12">
        <v>20</v>
      </c>
      <c r="I12">
        <v>21</v>
      </c>
    </row>
    <row r="13" spans="1:107" x14ac:dyDescent="0.3">
      <c r="B13">
        <v>1992</v>
      </c>
      <c r="C13">
        <f>B13+5</f>
        <v>1997</v>
      </c>
      <c r="D13">
        <f>C13+5</f>
        <v>2002</v>
      </c>
      <c r="E13">
        <f>D13+5</f>
        <v>2007</v>
      </c>
      <c r="F13">
        <f>E13+5</f>
        <v>2012</v>
      </c>
      <c r="G13" s="9">
        <f>F13+5</f>
        <v>2017</v>
      </c>
      <c r="H13" s="9">
        <f>G13+5</f>
        <v>2022</v>
      </c>
      <c r="I13" s="10">
        <f>H13+3</f>
        <v>2025</v>
      </c>
      <c r="J13" s="8"/>
      <c r="K13" s="8"/>
      <c r="L13" s="8"/>
      <c r="M13" s="8"/>
      <c r="N13" s="8"/>
      <c r="O13" s="8"/>
      <c r="P13" s="8"/>
      <c r="Q13" s="8"/>
      <c r="R13" s="8"/>
      <c r="S13" s="8"/>
      <c r="CK13">
        <f>(AVERAGE(CH4:CK4)-AVERAGE(CD4:CG4))/AVERAGE(CD4:CG4)*100</f>
        <v>-0.70024231754210298</v>
      </c>
    </row>
    <row r="14" spans="1:107" x14ac:dyDescent="0.3">
      <c r="B14" t="str">
        <f>B13&amp;"_4/4"</f>
        <v>1992_4/4</v>
      </c>
      <c r="C14" t="str">
        <f>C13&amp;"_4/4"</f>
        <v>1997_4/4</v>
      </c>
      <c r="D14" t="str">
        <f>D13&amp;"_4/4"</f>
        <v>2002_4/4</v>
      </c>
      <c r="E14" t="str">
        <f>E13&amp;"_4/4"</f>
        <v>2007_4/4</v>
      </c>
      <c r="F14" t="str">
        <f>F13&amp;"_4/4"</f>
        <v>2012_4/4</v>
      </c>
      <c r="G14" t="str">
        <f>G13&amp;"_1/4"</f>
        <v>2017_1/4</v>
      </c>
      <c r="H14" t="str">
        <f>H13&amp;"_1/4"</f>
        <v>2022_1/4</v>
      </c>
      <c r="I14" t="str">
        <f>I13&amp;"_2/4"</f>
        <v>2025_2/4</v>
      </c>
    </row>
    <row r="15" spans="1:107" x14ac:dyDescent="0.3">
      <c r="B15" t="str">
        <f>B13-1&amp;"_4/4"</f>
        <v>1991_4/4</v>
      </c>
      <c r="C15" t="str">
        <f>C13-1&amp;"_4/4"</f>
        <v>1996_4/4</v>
      </c>
      <c r="D15" t="str">
        <f>D13-1&amp;"_4/4"</f>
        <v>2001_4/4</v>
      </c>
      <c r="E15" t="str">
        <f>E13-1&amp;"_4/4"</f>
        <v>2006_4/4</v>
      </c>
      <c r="F15" t="str">
        <f>F13-1&amp;"_4/4"</f>
        <v>2011_4/4</v>
      </c>
      <c r="G15" t="str">
        <f>G13-1&amp;"_1/4"</f>
        <v>2016_1/4</v>
      </c>
      <c r="H15" t="str">
        <f>H13-1&amp;"_1/4"</f>
        <v>2021_1/4</v>
      </c>
      <c r="I15" t="str">
        <f>I13-1&amp;"_2/4"</f>
        <v>2024_2/4</v>
      </c>
    </row>
    <row r="18" spans="1:4" x14ac:dyDescent="0.3">
      <c r="A18" t="s">
        <v>138</v>
      </c>
      <c r="D18" s="7">
        <f>M10</f>
        <v>4.7259251126827797</v>
      </c>
    </row>
    <row r="19" spans="1:4" x14ac:dyDescent="0.3">
      <c r="A19" t="s">
        <v>139</v>
      </c>
      <c r="D19" s="7">
        <f>Q10</f>
        <v>7.7439989531956908</v>
      </c>
    </row>
    <row r="20" spans="1:4" x14ac:dyDescent="0.3">
      <c r="A20" t="s">
        <v>140</v>
      </c>
      <c r="D20" s="7">
        <f>M11</f>
        <v>3.8618428207987332</v>
      </c>
    </row>
    <row r="21" spans="1:4" x14ac:dyDescent="0.3">
      <c r="A21" t="s">
        <v>141</v>
      </c>
      <c r="D21" s="7">
        <f>Q11</f>
        <v>8.7647522017669335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6.5" x14ac:dyDescent="0.3"/>
  <sheetData>
    <row r="1" spans="1:2" x14ac:dyDescent="0.3">
      <c r="A1" s="6" t="s">
        <v>114</v>
      </c>
      <c r="B1" s="6" t="s">
        <v>115</v>
      </c>
    </row>
    <row r="2" spans="1:2" x14ac:dyDescent="0.3">
      <c r="A2" s="6" t="s">
        <v>116</v>
      </c>
      <c r="B2" s="6" t="s">
        <v>117</v>
      </c>
    </row>
    <row r="3" spans="1:2" x14ac:dyDescent="0.3">
      <c r="A3" s="6" t="s">
        <v>118</v>
      </c>
      <c r="B3" s="6" t="s">
        <v>119</v>
      </c>
    </row>
    <row r="4" spans="1:2" x14ac:dyDescent="0.3">
      <c r="A4" s="6" t="s">
        <v>120</v>
      </c>
      <c r="B4" s="6" t="s">
        <v>121</v>
      </c>
    </row>
    <row r="5" spans="1:2" x14ac:dyDescent="0.3">
      <c r="A5" s="6" t="s">
        <v>122</v>
      </c>
      <c r="B5" s="6" t="s">
        <v>123</v>
      </c>
    </row>
    <row r="6" spans="1:2" x14ac:dyDescent="0.3">
      <c r="A6" s="6" t="s">
        <v>124</v>
      </c>
      <c r="B6" s="6" t="s">
        <v>125</v>
      </c>
    </row>
    <row r="7" spans="1:2" x14ac:dyDescent="0.3">
      <c r="A7" s="6" t="s">
        <v>126</v>
      </c>
      <c r="B7" s="6" t="s">
        <v>127</v>
      </c>
    </row>
    <row r="8" spans="1:2" x14ac:dyDescent="0.3">
      <c r="A8" s="6" t="s">
        <v>128</v>
      </c>
      <c r="B8" s="6" t="s">
        <v>129</v>
      </c>
    </row>
    <row r="9" spans="1:2" x14ac:dyDescent="0.3">
      <c r="A9" s="6" t="s">
        <v>130</v>
      </c>
    </row>
    <row r="10" spans="1:2" x14ac:dyDescent="0.3">
      <c r="A10" s="6" t="s">
        <v>131</v>
      </c>
      <c r="B10" s="6" t="s">
        <v>132</v>
      </c>
    </row>
    <row r="11" spans="1:2" x14ac:dyDescent="0.3">
      <c r="A11" s="6" t="s">
        <v>126</v>
      </c>
      <c r="B11" s="6" t="s">
        <v>133</v>
      </c>
    </row>
    <row r="12" spans="1:2" x14ac:dyDescent="0.3">
      <c r="A12" s="6" t="s">
        <v>126</v>
      </c>
      <c r="B12" s="6" t="s">
        <v>134</v>
      </c>
    </row>
    <row r="13" spans="1:2" x14ac:dyDescent="0.3">
      <c r="A13" s="6" t="s">
        <v>126</v>
      </c>
      <c r="B13" s="6" t="s">
        <v>135</v>
      </c>
    </row>
    <row r="14" spans="1:2" x14ac:dyDescent="0.3">
      <c r="A14" s="6" t="s">
        <v>126</v>
      </c>
      <c r="B14" s="6" t="s">
        <v>136</v>
      </c>
    </row>
    <row r="15" spans="1:2" x14ac:dyDescent="0.3">
      <c r="A15" s="6" t="s">
        <v>126</v>
      </c>
      <c r="B15" s="6" t="s">
        <v>137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김 진실</cp:lastModifiedBy>
  <dcterms:created xsi:type="dcterms:W3CDTF">2025-10-28T11:10:42Z</dcterms:created>
  <dcterms:modified xsi:type="dcterms:W3CDTF">2025-10-28T11:59:56Z</dcterms:modified>
</cp:coreProperties>
</file>