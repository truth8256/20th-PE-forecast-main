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odsti-my.sharepoint.com/personal/truth8256_goodsti_com/Documents/=대학원/=논문연구/20th-PE-forecast-main/0_data/"/>
    </mc:Choice>
  </mc:AlternateContent>
  <xr:revisionPtr revIDLastSave="18" documentId="11_AD741C4E17BB5AF806F893954E76726F6E70A70A" xr6:coauthVersionLast="47" xr6:coauthVersionMax="47" xr10:uidLastSave="{4E6BD4FE-AC9E-4D13-89B7-1E43505647C2}"/>
  <bookViews>
    <workbookView xWindow="28680" yWindow="-120" windowWidth="29040" windowHeight="15720" xr2:uid="{00000000-000D-0000-FFFF-FFFF00000000}"/>
  </bookViews>
  <sheets>
    <sheet name="데이터" sheetId="1" r:id="rId1"/>
    <sheet name="메타정보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9" i="1" l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</calcChain>
</file>

<file path=xl/sharedStrings.xml><?xml version="1.0" encoding="utf-8"?>
<sst xmlns="http://schemas.openxmlformats.org/spreadsheetml/2006/main" count="73" uniqueCount="68">
  <si>
    <t>계정항목별</t>
  </si>
  <si>
    <t>2016.1/4</t>
  </si>
  <si>
    <t>2016.2/4</t>
  </si>
  <si>
    <t>2016.3/4</t>
  </si>
  <si>
    <t>2016.4/4</t>
  </si>
  <si>
    <t>2017.1/4</t>
  </si>
  <si>
    <t>2017.2/4</t>
  </si>
  <si>
    <t>2017.3/4</t>
  </si>
  <si>
    <t>2017.4/4</t>
  </si>
  <si>
    <t>2018.1/4</t>
  </si>
  <si>
    <t>2018.2/4</t>
  </si>
  <si>
    <t>2018.3/4</t>
  </si>
  <si>
    <t>2018.4/4</t>
  </si>
  <si>
    <t>2019.1/4</t>
  </si>
  <si>
    <t>2019.2/4</t>
  </si>
  <si>
    <t>2019.3/4</t>
  </si>
  <si>
    <t>2019.4/4</t>
  </si>
  <si>
    <t>2020.1/4</t>
  </si>
  <si>
    <t>2020.2/4</t>
  </si>
  <si>
    <t>2020.3/4</t>
  </si>
  <si>
    <t>2020.4/4</t>
  </si>
  <si>
    <t>2021.1/4</t>
  </si>
  <si>
    <t>2021.2/4</t>
  </si>
  <si>
    <t>2021.3/4</t>
  </si>
  <si>
    <t>2021.4/4</t>
  </si>
  <si>
    <t>2022.1/4</t>
  </si>
  <si>
    <t>2022.2/4</t>
  </si>
  <si>
    <t>2022.3/4</t>
  </si>
  <si>
    <t>2022.4/4</t>
  </si>
  <si>
    <t>2023.1/4</t>
  </si>
  <si>
    <t>2023.2/4</t>
  </si>
  <si>
    <t>2023.3/4</t>
  </si>
  <si>
    <t>2023.4/4</t>
  </si>
  <si>
    <t>2024.1/4</t>
  </si>
  <si>
    <t>2024.2/4</t>
  </si>
  <si>
    <t>2024.3/4</t>
  </si>
  <si>
    <t>2024.4/4</t>
  </si>
  <si>
    <t>2025.1/4</t>
  </si>
  <si>
    <t>2025.2/4</t>
  </si>
  <si>
    <t>국내총생산(시장가격, GDP)</t>
  </si>
  <si>
    <t>교역조건 변화를 반영한 실질무역손익</t>
  </si>
  <si>
    <t>국내총소득(GDI)</t>
  </si>
  <si>
    <t>국외순수취요소소득</t>
  </si>
  <si>
    <t>국민총소득(GNI)</t>
  </si>
  <si>
    <t>○ 통계표ID</t>
  </si>
  <si>
    <t>DT_200Y104</t>
  </si>
  <si>
    <t>○ 통계표명</t>
  </si>
  <si>
    <t>경제활동별 GDP 및 GNI(계절조정, 실질, 분기)</t>
  </si>
  <si>
    <t>○ 조회기간</t>
  </si>
  <si>
    <t xml:space="preserve">[분기] 201601~202502  </t>
  </si>
  <si>
    <t>○ 출처</t>
  </si>
  <si>
    <t>「국민계정」, 한국은행</t>
  </si>
  <si>
    <t>○ 자료다운일자</t>
  </si>
  <si>
    <t>2025.10.28 20:00</t>
  </si>
  <si>
    <t>○ 통계표URL</t>
  </si>
  <si>
    <t>https://kosis.kr/statHtml/statHtml.do?orgId=301&amp;tblId=DT_200Y104&amp;conn_path=I3</t>
  </si>
  <si>
    <t/>
  </si>
  <si>
    <t>* KOSIS 개편 시 통계표 URL은 달라질 수 있음</t>
  </si>
  <si>
    <t>○ 단위</t>
  </si>
  <si>
    <t>십억원</t>
  </si>
  <si>
    <t>○ 주석</t>
  </si>
  <si>
    <t>통계표</t>
  </si>
  <si>
    <t>(1) 분기속보 : 해당 분기 종료 후 28일 이내, 분기잠정 : 해당 분기 종료 후 70일 이내</t>
  </si>
  <si>
    <t xml:space="preserve">
(2) 연간 잠정치 : 해당 연도 종료 후 3개월 내에 국민소득(잠정), 6개월 내에 국민계정(잠정)이 공표, 연간확정 : 해당 연도 종료 후 18개월 이내. 연간잠정 시에는 일부 기초자료를 이용하지 못함에 따라 추후 공표될 연간확정과 차이가 있을 수 있으며 시계열 분석 시 유의바람</t>
  </si>
  <si>
    <t xml:space="preserve">
(3) 연쇄가중법에 의해 추계된 실질 GDP통계는 비가법적 특성에 의해 총량(또는 상위부문) 금액과 그 구성항목 금액의 합이 일치하지 않음</t>
  </si>
  <si>
    <t xml:space="preserve">
(4) 개별 구성항목의 연쇄금액은 구성항목 내에서의 상대적 중요도를 정확하게 반영하지 못할 수 있으므로 상대비교 시에는 주의를 요함. 각 구성항목의 기여도는 2.1.5. GDP에 대한 성장기여도를 참조</t>
  </si>
  <si>
    <t xml:space="preserve">
(5) 순생산물세 : 생산물세에서 생산물보조금을 차감하여 계산</t>
  </si>
  <si>
    <t xml:space="preserve">
(6) 산업별 금액은 총부가가치(기초가격) 기준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</si>
</sst>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"/>
    <numFmt numFmtId="184" formatCode="#,##0.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/>
    <xf numFmtId="176" fontId="0" fillId="0" borderId="1" xfId="0" applyNumberFormat="1" applyBorder="1" applyAlignment="1">
      <alignment horizontal="right"/>
    </xf>
    <xf numFmtId="0" fontId="0" fillId="4" borderId="2" xfId="0" applyFill="1" applyBorder="1"/>
    <xf numFmtId="0" fontId="0" fillId="4" borderId="1" xfId="0" applyFill="1" applyBorder="1"/>
    <xf numFmtId="0" fontId="0" fillId="0" borderId="0" xfId="0" applyAlignment="1">
      <alignment horizontal="left"/>
    </xf>
    <xf numFmtId="18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"/>
  <sheetViews>
    <sheetView tabSelected="1" topLeftCell="H1" workbookViewId="0">
      <selection activeCell="Z9" sqref="Z9"/>
    </sheetView>
  </sheetViews>
  <sheetFormatPr defaultColWidth="21" defaultRowHeight="16.5" x14ac:dyDescent="0.3"/>
  <cols>
    <col min="2" max="39" width="12.875" customWidth="1"/>
  </cols>
  <sheetData>
    <row r="1" spans="1:39" ht="20.100000000000001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ht="20.100000000000001" customHeight="1" x14ac:dyDescent="0.3">
      <c r="A2" s="4" t="s">
        <v>39</v>
      </c>
      <c r="B2" s="3">
        <v>468400.3</v>
      </c>
      <c r="C2" s="3">
        <v>474271.5</v>
      </c>
      <c r="D2" s="3">
        <v>476105.6</v>
      </c>
      <c r="E2" s="3">
        <v>479773.7</v>
      </c>
      <c r="F2" s="3">
        <v>485188.1</v>
      </c>
      <c r="G2" s="3">
        <v>488752.2</v>
      </c>
      <c r="H2" s="3">
        <v>495472.5</v>
      </c>
      <c r="I2" s="3">
        <v>494319.3</v>
      </c>
      <c r="J2" s="3">
        <v>501586.1</v>
      </c>
      <c r="K2" s="3">
        <v>505496.7</v>
      </c>
      <c r="L2" s="3">
        <v>508089.3</v>
      </c>
      <c r="M2" s="3">
        <v>510930.2</v>
      </c>
      <c r="N2" s="3">
        <v>511364</v>
      </c>
      <c r="O2" s="3">
        <v>518107.4</v>
      </c>
      <c r="P2" s="3">
        <v>519165.9</v>
      </c>
      <c r="Q2" s="3">
        <v>524345.1</v>
      </c>
      <c r="R2" s="3">
        <v>517612</v>
      </c>
      <c r="S2" s="3">
        <v>503461.2</v>
      </c>
      <c r="T2" s="3">
        <v>514615</v>
      </c>
      <c r="U2" s="3">
        <v>522778.3</v>
      </c>
      <c r="V2" s="3">
        <v>530731.1</v>
      </c>
      <c r="W2" s="3">
        <v>538119.9</v>
      </c>
      <c r="X2" s="3">
        <v>538107.6</v>
      </c>
      <c r="Y2" s="3">
        <v>546464.30000000005</v>
      </c>
      <c r="Z2" s="3">
        <v>548545.80000000005</v>
      </c>
      <c r="AA2" s="3">
        <v>553397.80000000005</v>
      </c>
      <c r="AB2" s="3">
        <v>556130.30000000005</v>
      </c>
      <c r="AC2" s="3">
        <v>554084.9</v>
      </c>
      <c r="AD2" s="3">
        <v>556056.4</v>
      </c>
      <c r="AE2" s="3">
        <v>559865.59999999998</v>
      </c>
      <c r="AF2" s="3">
        <v>564243.5</v>
      </c>
      <c r="AG2" s="3">
        <v>567012.30000000005</v>
      </c>
      <c r="AH2" s="3">
        <v>573667.30000000005</v>
      </c>
      <c r="AI2" s="3">
        <v>572357.1</v>
      </c>
      <c r="AJ2" s="3">
        <v>572866.1</v>
      </c>
      <c r="AK2" s="3">
        <v>573311.80000000005</v>
      </c>
      <c r="AL2" s="3">
        <v>572057.69999999995</v>
      </c>
      <c r="AM2" s="3">
        <v>575918.30000000005</v>
      </c>
    </row>
    <row r="3" spans="1:39" ht="20.100000000000001" customHeight="1" x14ac:dyDescent="0.3">
      <c r="A3" s="4" t="s">
        <v>40</v>
      </c>
      <c r="B3" s="3">
        <v>15640</v>
      </c>
      <c r="C3" s="3">
        <v>13655.9</v>
      </c>
      <c r="D3" s="3">
        <v>10755.6</v>
      </c>
      <c r="E3" s="3">
        <v>11138</v>
      </c>
      <c r="F3" s="3">
        <v>13029</v>
      </c>
      <c r="G3" s="3">
        <v>11880.9</v>
      </c>
      <c r="H3" s="3">
        <v>14194.7</v>
      </c>
      <c r="I3" s="3">
        <v>9166.1</v>
      </c>
      <c r="J3" s="3">
        <v>13176.5</v>
      </c>
      <c r="K3" s="3">
        <v>7671.7</v>
      </c>
      <c r="L3" s="3">
        <v>4478</v>
      </c>
      <c r="M3" s="3">
        <v>-49.6</v>
      </c>
      <c r="N3" s="3">
        <v>4888.3999999999996</v>
      </c>
      <c r="O3" s="3">
        <v>-4868.3</v>
      </c>
      <c r="P3" s="3">
        <v>-7783.8</v>
      </c>
      <c r="Q3" s="3">
        <v>-9382.1</v>
      </c>
      <c r="R3" s="3">
        <v>-2685.8</v>
      </c>
      <c r="S3" s="3">
        <v>1062.5</v>
      </c>
      <c r="T3" s="3">
        <v>1255.5</v>
      </c>
      <c r="U3" s="3">
        <v>367.8</v>
      </c>
      <c r="V3" s="3">
        <v>3131.7</v>
      </c>
      <c r="W3" s="3">
        <v>-4786.7</v>
      </c>
      <c r="X3" s="3">
        <v>-6182</v>
      </c>
      <c r="Y3" s="3">
        <v>-13783.1</v>
      </c>
      <c r="Z3" s="3">
        <v>-12841.5</v>
      </c>
      <c r="AA3" s="3">
        <v>-22655.3</v>
      </c>
      <c r="AB3" s="3">
        <v>-30988.400000000001</v>
      </c>
      <c r="AC3" s="3">
        <v>-28138.2</v>
      </c>
      <c r="AD3" s="3">
        <v>-26571.3</v>
      </c>
      <c r="AE3" s="3">
        <v>-27917.8</v>
      </c>
      <c r="AF3" s="3">
        <v>-20035.8</v>
      </c>
      <c r="AG3" s="3">
        <v>-17135</v>
      </c>
      <c r="AH3" s="3">
        <v>-13222.9</v>
      </c>
      <c r="AI3" s="3">
        <v>-14250</v>
      </c>
      <c r="AJ3" s="3">
        <v>-13567.6</v>
      </c>
      <c r="AK3" s="3">
        <v>-10839.1</v>
      </c>
      <c r="AL3" s="3">
        <v>-13027.6</v>
      </c>
      <c r="AM3" s="3">
        <v>-8594</v>
      </c>
    </row>
    <row r="4" spans="1:39" ht="20.100000000000001" customHeight="1" x14ac:dyDescent="0.3">
      <c r="A4" s="4" t="s">
        <v>41</v>
      </c>
      <c r="B4" s="3">
        <v>484040.4</v>
      </c>
      <c r="C4" s="3">
        <v>487927.4</v>
      </c>
      <c r="D4" s="3">
        <v>486861.2</v>
      </c>
      <c r="E4" s="3">
        <v>490911.7</v>
      </c>
      <c r="F4" s="3">
        <v>498217</v>
      </c>
      <c r="G4" s="3">
        <v>500633.1</v>
      </c>
      <c r="H4" s="3">
        <v>509667.2</v>
      </c>
      <c r="I4" s="3">
        <v>503485.4</v>
      </c>
      <c r="J4" s="3">
        <v>514762.6</v>
      </c>
      <c r="K4" s="3">
        <v>513168.5</v>
      </c>
      <c r="L4" s="3">
        <v>512567.3</v>
      </c>
      <c r="M4" s="3">
        <v>510880.6</v>
      </c>
      <c r="N4" s="3">
        <v>516252.4</v>
      </c>
      <c r="O4" s="3">
        <v>513239.1</v>
      </c>
      <c r="P4" s="3">
        <v>511382.1</v>
      </c>
      <c r="Q4" s="3">
        <v>514963</v>
      </c>
      <c r="R4" s="3">
        <v>514926.2</v>
      </c>
      <c r="S4" s="3">
        <v>504523.7</v>
      </c>
      <c r="T4" s="3">
        <v>515870.5</v>
      </c>
      <c r="U4" s="3">
        <v>523146.2</v>
      </c>
      <c r="V4" s="3">
        <v>533862.80000000005</v>
      </c>
      <c r="W4" s="3">
        <v>533333.19999999995</v>
      </c>
      <c r="X4" s="3">
        <v>531925.69999999995</v>
      </c>
      <c r="Y4" s="3">
        <v>532681.19999999995</v>
      </c>
      <c r="Z4" s="3">
        <v>535704.30000000005</v>
      </c>
      <c r="AA4" s="3">
        <v>530742.5</v>
      </c>
      <c r="AB4" s="3">
        <v>525142</v>
      </c>
      <c r="AC4" s="3">
        <v>525946.69999999995</v>
      </c>
      <c r="AD4" s="3">
        <v>529485.1</v>
      </c>
      <c r="AE4" s="3">
        <v>531947.80000000005</v>
      </c>
      <c r="AF4" s="3">
        <v>544207.6</v>
      </c>
      <c r="AG4" s="3">
        <v>549877.30000000005</v>
      </c>
      <c r="AH4" s="3">
        <v>560444.4</v>
      </c>
      <c r="AI4" s="3">
        <v>558107.19999999995</v>
      </c>
      <c r="AJ4" s="3">
        <v>559298.5</v>
      </c>
      <c r="AK4" s="3">
        <v>562472.69999999995</v>
      </c>
      <c r="AL4" s="3">
        <v>559030.1</v>
      </c>
      <c r="AM4" s="3">
        <v>567324.30000000005</v>
      </c>
    </row>
    <row r="5" spans="1:39" ht="20.100000000000001" customHeight="1" x14ac:dyDescent="0.3">
      <c r="A5" s="4" t="s">
        <v>42</v>
      </c>
      <c r="B5" s="3">
        <v>1426.4</v>
      </c>
      <c r="C5" s="3">
        <v>3009.3</v>
      </c>
      <c r="D5" s="3">
        <v>1612.2</v>
      </c>
      <c r="E5" s="3">
        <v>667.4</v>
      </c>
      <c r="F5" s="3">
        <v>1502.2</v>
      </c>
      <c r="G5" s="3">
        <v>610.6</v>
      </c>
      <c r="H5" s="3">
        <v>2976.7</v>
      </c>
      <c r="I5" s="3">
        <v>2583.5</v>
      </c>
      <c r="J5" s="3">
        <v>2095.3000000000002</v>
      </c>
      <c r="K5" s="3">
        <v>1590.4</v>
      </c>
      <c r="L5" s="3">
        <v>1821</v>
      </c>
      <c r="M5" s="3">
        <v>2177.1</v>
      </c>
      <c r="N5" s="3">
        <v>929.5</v>
      </c>
      <c r="O5" s="3">
        <v>3688.2</v>
      </c>
      <c r="P5" s="3">
        <v>6999.1</v>
      </c>
      <c r="Q5" s="3">
        <v>4869.3</v>
      </c>
      <c r="R5" s="3">
        <v>4757.8</v>
      </c>
      <c r="S5" s="3">
        <v>3602.3</v>
      </c>
      <c r="T5" s="3">
        <v>2803.2</v>
      </c>
      <c r="U5" s="3">
        <v>5780.5</v>
      </c>
      <c r="V5" s="3">
        <v>4366.8999999999996</v>
      </c>
      <c r="W5" s="3">
        <v>11116</v>
      </c>
      <c r="X5" s="3">
        <v>2305.1</v>
      </c>
      <c r="Y5" s="3">
        <v>4765.7</v>
      </c>
      <c r="Z5" s="3">
        <v>4967.7</v>
      </c>
      <c r="AA5" s="3">
        <v>6921.4</v>
      </c>
      <c r="AB5" s="3">
        <v>6643.9</v>
      </c>
      <c r="AC5" s="3">
        <v>7051.2</v>
      </c>
      <c r="AD5" s="3">
        <v>8376.5</v>
      </c>
      <c r="AE5" s="3">
        <v>6831.5</v>
      </c>
      <c r="AF5" s="3">
        <v>7108.3</v>
      </c>
      <c r="AG5" s="3">
        <v>8767.1</v>
      </c>
      <c r="AH5" s="3">
        <v>7889.1</v>
      </c>
      <c r="AI5" s="3">
        <v>7356.8</v>
      </c>
      <c r="AJ5" s="3">
        <v>8126</v>
      </c>
      <c r="AK5" s="3">
        <v>8929.6</v>
      </c>
      <c r="AL5" s="3">
        <v>12953.6</v>
      </c>
      <c r="AM5" s="3">
        <v>10212.1</v>
      </c>
    </row>
    <row r="6" spans="1:39" ht="20.100000000000001" customHeight="1" x14ac:dyDescent="0.3">
      <c r="A6" s="5" t="s">
        <v>43</v>
      </c>
      <c r="B6" s="3">
        <v>485479.8</v>
      </c>
      <c r="C6" s="3">
        <v>490938.8</v>
      </c>
      <c r="D6" s="3">
        <v>488484.8</v>
      </c>
      <c r="E6" s="3">
        <v>491598.2</v>
      </c>
      <c r="F6" s="3">
        <v>499730.4</v>
      </c>
      <c r="G6" s="3">
        <v>501258.8</v>
      </c>
      <c r="H6" s="3">
        <v>512654.1</v>
      </c>
      <c r="I6" s="3">
        <v>506080.2</v>
      </c>
      <c r="J6" s="3">
        <v>516874.7</v>
      </c>
      <c r="K6" s="3">
        <v>514775.8</v>
      </c>
      <c r="L6" s="3">
        <v>514403.9</v>
      </c>
      <c r="M6" s="3">
        <v>513076.8</v>
      </c>
      <c r="N6" s="3">
        <v>517205.9</v>
      </c>
      <c r="O6" s="3">
        <v>516937.8</v>
      </c>
      <c r="P6" s="3">
        <v>518379.1</v>
      </c>
      <c r="Q6" s="3">
        <v>519834.2</v>
      </c>
      <c r="R6" s="3">
        <v>519682.7</v>
      </c>
      <c r="S6" s="3">
        <v>508129.5</v>
      </c>
      <c r="T6" s="3">
        <v>518673.6</v>
      </c>
      <c r="U6" s="3">
        <v>528924.4</v>
      </c>
      <c r="V6" s="3">
        <v>538229.6</v>
      </c>
      <c r="W6" s="3">
        <v>544449.19999999995</v>
      </c>
      <c r="X6" s="3">
        <v>534230.80000000005</v>
      </c>
      <c r="Y6" s="3">
        <v>537446.9</v>
      </c>
      <c r="Z6" s="3">
        <v>540673.69999999995</v>
      </c>
      <c r="AA6" s="3">
        <v>537660</v>
      </c>
      <c r="AB6" s="3">
        <v>531781.9</v>
      </c>
      <c r="AC6" s="3">
        <v>532991.9</v>
      </c>
      <c r="AD6" s="3">
        <v>537852.30000000005</v>
      </c>
      <c r="AE6" s="3">
        <v>538774.80000000005</v>
      </c>
      <c r="AF6" s="3">
        <v>551316.9</v>
      </c>
      <c r="AG6" s="3">
        <v>558635.19999999995</v>
      </c>
      <c r="AH6" s="3">
        <v>568327.80000000005</v>
      </c>
      <c r="AI6" s="3">
        <v>565458.80000000005</v>
      </c>
      <c r="AJ6" s="3">
        <v>567418.4</v>
      </c>
      <c r="AK6" s="3">
        <v>571396.1</v>
      </c>
      <c r="AL6" s="3">
        <v>571969.69999999995</v>
      </c>
      <c r="AM6" s="3">
        <v>577525.80000000005</v>
      </c>
    </row>
    <row r="8" spans="1:39" x14ac:dyDescent="0.3">
      <c r="I8" s="7">
        <f>(SUM(F2:I2)-SUM(B2:E2))/SUM(B2:E2)*100</f>
        <v>3.4331970311465536</v>
      </c>
      <c r="J8" s="7">
        <f t="shared" ref="J8:AM8" si="0">(SUM(G2:J2)-SUM(C2:F2))/SUM(C2:F2)*100</f>
        <v>3.3827538301446385</v>
      </c>
      <c r="K8" s="7">
        <f t="shared" si="0"/>
        <v>3.4746771148971649</v>
      </c>
      <c r="L8" s="7">
        <f t="shared" si="0"/>
        <v>3.0938496649756142</v>
      </c>
      <c r="M8" s="7">
        <f t="shared" si="0"/>
        <v>3.1761053353458935</v>
      </c>
      <c r="N8" s="7">
        <f t="shared" si="0"/>
        <v>2.8154766194403011</v>
      </c>
      <c r="O8" s="7">
        <f t="shared" si="0"/>
        <v>2.5848543518957099</v>
      </c>
      <c r="P8" s="7">
        <f t="shared" si="0"/>
        <v>2.4919788161322858</v>
      </c>
      <c r="Q8" s="7">
        <f t="shared" si="0"/>
        <v>2.3138071557393651</v>
      </c>
      <c r="R8" s="7">
        <f t="shared" si="0"/>
        <v>2.1293099662740449</v>
      </c>
      <c r="S8" s="7">
        <f t="shared" si="0"/>
        <v>0.7856173537309854</v>
      </c>
      <c r="T8" s="7">
        <f t="shared" si="0"/>
        <v>2.2616398831310291E-2</v>
      </c>
      <c r="U8" s="7">
        <f t="shared" si="0"/>
        <v>-0.70024231754210298</v>
      </c>
      <c r="V8" s="7">
        <f t="shared" si="0"/>
        <v>-0.36767450110386107</v>
      </c>
      <c r="W8" s="7">
        <f t="shared" si="0"/>
        <v>2.0178445616313381</v>
      </c>
      <c r="X8" s="7">
        <f t="shared" si="0"/>
        <v>3.3836152066085465</v>
      </c>
      <c r="Y8" s="7">
        <f t="shared" si="0"/>
        <v>4.6129679545428779</v>
      </c>
      <c r="Z8" s="7">
        <f t="shared" si="0"/>
        <v>4.8104215437682125</v>
      </c>
      <c r="AA8" s="7">
        <f t="shared" si="0"/>
        <v>3.8111058626959937</v>
      </c>
      <c r="AB8" s="7">
        <f t="shared" si="0"/>
        <v>3.5122319569145035</v>
      </c>
      <c r="AC8" s="7">
        <f t="shared" si="0"/>
        <v>2.7275599233202126</v>
      </c>
      <c r="AD8" s="7">
        <f t="shared" si="0"/>
        <v>2.2306080182104351</v>
      </c>
      <c r="AE8" s="7">
        <f t="shared" si="0"/>
        <v>1.8120932598008195</v>
      </c>
      <c r="AF8" s="7">
        <f t="shared" si="0"/>
        <v>1.3477743320573767</v>
      </c>
      <c r="AG8" s="7">
        <f t="shared" si="0"/>
        <v>1.583023786538269</v>
      </c>
      <c r="AH8" s="7">
        <f t="shared" si="0"/>
        <v>2.0327036089248374</v>
      </c>
      <c r="AI8" s="7">
        <f t="shared" si="0"/>
        <v>2.2973876003689258</v>
      </c>
      <c r="AJ8" s="7">
        <f t="shared" si="0"/>
        <v>2.3118447242977052</v>
      </c>
      <c r="AK8" s="7">
        <f t="shared" si="0"/>
        <v>2.0036020291763297</v>
      </c>
      <c r="AL8" s="7">
        <f t="shared" si="0"/>
        <v>1.1393557376897896</v>
      </c>
      <c r="AM8" s="7">
        <f t="shared" si="0"/>
        <v>0.7409584468349445</v>
      </c>
    </row>
    <row r="9" spans="1:39" x14ac:dyDescent="0.3">
      <c r="I9" s="7">
        <f>(SUM(F6:I6)-SUM(B6:E6))/SUM(B6:E6)*100</f>
        <v>3.2313748171736689</v>
      </c>
      <c r="J9" s="7">
        <f t="shared" ref="J9:AM9" si="1">(SUM(G6:J6)-SUM(C6:F6))/SUM(C6:F6)*100</f>
        <v>3.3548408572117596</v>
      </c>
      <c r="K9" s="7">
        <f t="shared" si="1"/>
        <v>3.4987417419718523</v>
      </c>
      <c r="L9" s="7">
        <f t="shared" si="1"/>
        <v>2.3385263071804614</v>
      </c>
      <c r="M9" s="7">
        <f t="shared" si="1"/>
        <v>1.9511433124385684</v>
      </c>
      <c r="N9" s="7">
        <f t="shared" si="1"/>
        <v>1.1092816136619223</v>
      </c>
      <c r="O9" s="7">
        <f t="shared" si="1"/>
        <v>0.54817027516006223</v>
      </c>
      <c r="P9" s="7">
        <f t="shared" si="1"/>
        <v>0.65614604422146583</v>
      </c>
      <c r="Q9" s="7">
        <f t="shared" si="1"/>
        <v>0.64230001468579634</v>
      </c>
      <c r="R9" s="7">
        <f t="shared" si="1"/>
        <v>0.74637924926426957</v>
      </c>
      <c r="S9" s="7">
        <f t="shared" si="1"/>
        <v>0.21347729489425232</v>
      </c>
      <c r="T9" s="7">
        <f t="shared" si="1"/>
        <v>3.4876071819529147E-2</v>
      </c>
      <c r="U9" s="7">
        <f t="shared" si="1"/>
        <v>0.14732982782406476</v>
      </c>
      <c r="V9" s="7">
        <f t="shared" si="1"/>
        <v>0.92167864240500996</v>
      </c>
      <c r="W9" s="7">
        <f t="shared" si="1"/>
        <v>3.1098986919570843</v>
      </c>
      <c r="X9" s="7">
        <f t="shared" si="1"/>
        <v>3.8480971001587365</v>
      </c>
      <c r="Y9" s="7">
        <f t="shared" si="1"/>
        <v>3.8038889854160054</v>
      </c>
      <c r="Z9" s="7">
        <f t="shared" si="1"/>
        <v>3.0011837396286452</v>
      </c>
      <c r="AA9" s="7">
        <f t="shared" si="1"/>
        <v>0.92638665548066612</v>
      </c>
      <c r="AB9" s="7">
        <f t="shared" si="1"/>
        <v>8.0551431284992217E-2</v>
      </c>
      <c r="AC9" s="7">
        <f t="shared" si="1"/>
        <v>-0.52215127811947559</v>
      </c>
      <c r="AD9" s="7">
        <f t="shared" si="1"/>
        <v>-0.76569433446930613</v>
      </c>
      <c r="AE9" s="7">
        <f t="shared" si="1"/>
        <v>-0.40048624858454235</v>
      </c>
      <c r="AF9" s="7">
        <f t="shared" si="1"/>
        <v>0.62272460056461088</v>
      </c>
      <c r="AG9" s="7">
        <f t="shared" si="1"/>
        <v>2.0284423436528587</v>
      </c>
      <c r="AH9" s="7">
        <f t="shared" si="1"/>
        <v>3.5868382269081027</v>
      </c>
      <c r="AI9" s="7">
        <f t="shared" si="1"/>
        <v>4.779011720785201</v>
      </c>
      <c r="AJ9" s="7">
        <f t="shared" si="1"/>
        <v>4.5769196578204747</v>
      </c>
      <c r="AK9" s="7">
        <f t="shared" si="1"/>
        <v>3.9340857170872159</v>
      </c>
      <c r="AL9" s="7">
        <f t="shared" si="1"/>
        <v>2.6696815374018428</v>
      </c>
      <c r="AM9" s="7">
        <f t="shared" si="1"/>
        <v>1.9864746282621863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6.5" x14ac:dyDescent="0.3"/>
  <sheetData>
    <row r="1" spans="1:2" x14ac:dyDescent="0.3">
      <c r="A1" s="6" t="s">
        <v>44</v>
      </c>
      <c r="B1" s="6" t="s">
        <v>45</v>
      </c>
    </row>
    <row r="2" spans="1:2" x14ac:dyDescent="0.3">
      <c r="A2" s="6" t="s">
        <v>46</v>
      </c>
      <c r="B2" s="6" t="s">
        <v>47</v>
      </c>
    </row>
    <row r="3" spans="1:2" x14ac:dyDescent="0.3">
      <c r="A3" s="6" t="s">
        <v>48</v>
      </c>
      <c r="B3" s="6" t="s">
        <v>49</v>
      </c>
    </row>
    <row r="4" spans="1:2" x14ac:dyDescent="0.3">
      <c r="A4" s="6" t="s">
        <v>50</v>
      </c>
      <c r="B4" s="6" t="s">
        <v>51</v>
      </c>
    </row>
    <row r="5" spans="1:2" x14ac:dyDescent="0.3">
      <c r="A5" s="6" t="s">
        <v>52</v>
      </c>
      <c r="B5" s="6" t="s">
        <v>53</v>
      </c>
    </row>
    <row r="6" spans="1:2" x14ac:dyDescent="0.3">
      <c r="A6" s="6" t="s">
        <v>54</v>
      </c>
      <c r="B6" s="6" t="s">
        <v>55</v>
      </c>
    </row>
    <row r="7" spans="1:2" x14ac:dyDescent="0.3">
      <c r="A7" s="6" t="s">
        <v>56</v>
      </c>
      <c r="B7" s="6" t="s">
        <v>57</v>
      </c>
    </row>
    <row r="8" spans="1:2" x14ac:dyDescent="0.3">
      <c r="A8" s="6" t="s">
        <v>58</v>
      </c>
      <c r="B8" s="6" t="s">
        <v>59</v>
      </c>
    </row>
    <row r="9" spans="1:2" x14ac:dyDescent="0.3">
      <c r="A9" s="6" t="s">
        <v>60</v>
      </c>
    </row>
    <row r="10" spans="1:2" x14ac:dyDescent="0.3">
      <c r="A10" s="6" t="s">
        <v>61</v>
      </c>
      <c r="B10" s="6" t="s">
        <v>62</v>
      </c>
    </row>
    <row r="11" spans="1:2" x14ac:dyDescent="0.3">
      <c r="A11" s="6" t="s">
        <v>56</v>
      </c>
      <c r="B11" s="6" t="s">
        <v>63</v>
      </c>
    </row>
    <row r="12" spans="1:2" x14ac:dyDescent="0.3">
      <c r="A12" s="6" t="s">
        <v>56</v>
      </c>
      <c r="B12" s="6" t="s">
        <v>64</v>
      </c>
    </row>
    <row r="13" spans="1:2" x14ac:dyDescent="0.3">
      <c r="A13" s="6" t="s">
        <v>56</v>
      </c>
      <c r="B13" s="6" t="s">
        <v>65</v>
      </c>
    </row>
    <row r="14" spans="1:2" x14ac:dyDescent="0.3">
      <c r="A14" s="6" t="s">
        <v>56</v>
      </c>
      <c r="B14" s="6" t="s">
        <v>66</v>
      </c>
    </row>
    <row r="15" spans="1:2" x14ac:dyDescent="0.3">
      <c r="A15" s="6" t="s">
        <v>56</v>
      </c>
      <c r="B15" s="6" t="s"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김 진실</cp:lastModifiedBy>
  <dcterms:created xsi:type="dcterms:W3CDTF">2025-10-28T11:00:52Z</dcterms:created>
  <dcterms:modified xsi:type="dcterms:W3CDTF">2025-10-28T11:06:01Z</dcterms:modified>
</cp:coreProperties>
</file>